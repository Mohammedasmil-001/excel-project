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24226"/>
  <mc:AlternateContent xmlns:mc="http://schemas.openxmlformats.org/markup-compatibility/2006">
    <mc:Choice Requires="x15">
      <x15ac:absPath xmlns:x15ac="http://schemas.microsoft.com/office/spreadsheetml/2010/11/ac" url="/Users/pc/Desktop/DASHBOARD/"/>
    </mc:Choice>
  </mc:AlternateContent>
  <xr:revisionPtr revIDLastSave="0" documentId="13_ncr:1_{DC01D9CF-7216-024C-9CF4-5D9D8F72026D}" xr6:coauthVersionLast="47" xr6:coauthVersionMax="47" xr10:uidLastSave="{00000000-0000-0000-0000-000000000000}"/>
  <bookViews>
    <workbookView xWindow="0" yWindow="600" windowWidth="28800" windowHeight="15820" activeTab="1" xr2:uid="{00000000-000D-0000-FFFF-FFFF00000000}"/>
  </bookViews>
  <sheets>
    <sheet name="Pvot table" sheetId="4" r:id="rId1"/>
    <sheet name="Cleaned Data" sheetId="2" r:id="rId2"/>
    <sheet name="Source Data" sheetId="1" r:id="rId3"/>
    <sheet name="DashBoard" sheetId="5" r:id="rId4"/>
  </sheets>
  <definedNames>
    <definedName name="ExternalData_1" localSheetId="1" hidden="1">'Cleaned Data'!$A$1:$L$248</definedName>
    <definedName name="Slicer_Product_Category">#N/A</definedName>
    <definedName name="Slicer_Region">#N/A</definedName>
  </definedNames>
  <calcPr calcId="191029"/>
  <pivotCaches>
    <pivotCache cacheId="9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J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D56287-7DE3-074C-B9A2-C91946DACFA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<sst xmlns="http://schemas.openxmlformats.org/spreadsheetml/2006/main" count="3186" uniqueCount="47">
  <si>
    <t>Order ID</t>
  </si>
  <si>
    <t>Order Date</t>
  </si>
  <si>
    <t>Cust Name</t>
  </si>
  <si>
    <t>Region</t>
  </si>
  <si>
    <t>Prod_Category</t>
  </si>
  <si>
    <t>Sub-Category</t>
  </si>
  <si>
    <t>Quantity</t>
  </si>
  <si>
    <t>Unit Price</t>
  </si>
  <si>
    <t>Discount</t>
  </si>
  <si>
    <t>Sales</t>
  </si>
  <si>
    <t>Profit</t>
  </si>
  <si>
    <t>Returned</t>
  </si>
  <si>
    <t>Misc Info</t>
  </si>
  <si>
    <t>David</t>
  </si>
  <si>
    <t>Frank</t>
  </si>
  <si>
    <t>Alice</t>
  </si>
  <si>
    <t>Charlie</t>
  </si>
  <si>
    <t>Grace</t>
  </si>
  <si>
    <t>Bob</t>
  </si>
  <si>
    <t>Eva</t>
  </si>
  <si>
    <t>West</t>
  </si>
  <si>
    <t>East</t>
  </si>
  <si>
    <t>Central</t>
  </si>
  <si>
    <t>South</t>
  </si>
  <si>
    <t>Office Supplies</t>
  </si>
  <si>
    <t>Technology</t>
  </si>
  <si>
    <t>Furniture</t>
  </si>
  <si>
    <t>Phones</t>
  </si>
  <si>
    <t>Chairs</t>
  </si>
  <si>
    <t>Accessories</t>
  </si>
  <si>
    <t>Tables</t>
  </si>
  <si>
    <t>Binders</t>
  </si>
  <si>
    <t>No</t>
  </si>
  <si>
    <t>Yes</t>
  </si>
  <si>
    <t>N/A</t>
  </si>
  <si>
    <t>-</t>
  </si>
  <si>
    <t>Check</t>
  </si>
  <si>
    <t>Customer Name</t>
  </si>
  <si>
    <t>Product Category</t>
  </si>
  <si>
    <t>SubCategory</t>
  </si>
  <si>
    <t>Total revenue</t>
  </si>
  <si>
    <t>Row Labels</t>
  </si>
  <si>
    <t>Grand Total</t>
  </si>
  <si>
    <t>Sum of Sales</t>
  </si>
  <si>
    <t>Sum of Quantity</t>
  </si>
  <si>
    <t>Sum of Discount</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</si>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</sst>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809]dd\ mmmm\ yyyy;@"/>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2" fillId="2" borderId="0" xfId="0" applyFont="1" applyFill="1"/>
    <xf numFmtId="1" fontId="0" fillId="0" borderId="0" xfId="0" applyNumberFormat="1"/>
    <xf numFmtId="165" fontId="0" fillId="0" borderId="0" xfId="0" applyNumberFormat="1"/>
  </cellXfs>
  <cellStyles count="1">
    <cellStyle name="Normal" xfId="0" builtinId="0"/>
  </cellStyles>
  <dxfs count="16">
    <dxf>
      <numFmt numFmtId="1" formatCode="0"/>
    </dxf>
    <dxf>
      <numFmt numFmtId="2" formatCode="0.00"/>
    </dxf>
    <dxf>
      <numFmt numFmtId="0" formatCode="General"/>
    </dxf>
    <dxf>
      <numFmt numFmtId="1" formatCode="0"/>
    </dxf>
    <dxf>
      <numFmt numFmtId="0" formatCode="General"/>
    </dxf>
    <dxf>
      <numFmt numFmtId="0" formatCode="General"/>
    </dxf>
    <dxf>
      <numFmt numFmtId="0" formatCode="General"/>
    </dxf>
    <dxf>
      <numFmt numFmtId="0" formatCode="General"/>
    </dxf>
    <dxf>
      <numFmt numFmtId="19" formatCode="dd/mm/yy"/>
    </dxf>
    <dxf>
      <font>
        <b/>
        <i val="0"/>
      </font>
      <fill>
        <patternFill>
          <fgColor theme="5" tint="-0.24994659260841701"/>
          <bgColor theme="1" tint="0.24994659260841701"/>
        </patternFill>
      </fill>
    </dxf>
    <dxf>
      <font>
        <b/>
        <color theme="1"/>
      </font>
      <border>
        <bottom style="thin">
          <color theme="6"/>
        </bottom>
        <vertical/>
        <horizontal/>
      </border>
    </dxf>
    <dxf>
      <font>
        <b/>
        <i val="0"/>
        <color theme="1"/>
      </font>
      <fill>
        <patternFill>
          <fgColor theme="5" tint="-0.499984740745262"/>
          <bgColor theme="1" tint="0.24994659260841701"/>
        </patternFill>
      </fill>
      <border>
        <left style="thin">
          <color theme="6"/>
        </left>
        <right style="thin">
          <color theme="6"/>
        </right>
        <top style="thin">
          <color theme="6"/>
        </top>
        <bottom style="thin">
          <color theme="6"/>
        </bottom>
        <vertical/>
        <horizontal/>
      </border>
    </dxf>
    <dxf>
      <font>
        <b/>
        <color theme="1"/>
      </font>
      <border>
        <bottom style="thin">
          <color theme="5"/>
        </bottom>
        <vertical/>
        <horizontal/>
      </border>
    </dxf>
    <dxf>
      <font>
        <u val="none"/>
        <color theme="1"/>
      </font>
      <fill>
        <patternFill patternType="mediumGray"/>
      </fill>
      <border>
        <left style="thin">
          <color theme="5"/>
        </left>
        <right style="thin">
          <color theme="5"/>
        </right>
        <top style="thin">
          <color theme="5"/>
        </top>
        <bottom style="thin">
          <color theme="5"/>
        </bottom>
        <vertical/>
        <horizontal/>
      </border>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s>
  <tableStyles count="3" defaultTableStyle="TableStyleMedium9" defaultPivotStyle="PivotStyleLight16">
    <tableStyle name="022023" pivot="0" table="0" count="10" xr9:uid="{3CED5581-62FD-1A45-AD9A-1A937A3E96D9}">
      <tableStyleElement type="wholeTable" dxfId="15"/>
      <tableStyleElement type="headerRow" dxfId="14"/>
    </tableStyle>
    <tableStyle name="SlicerStyleDark2 2" pivot="0" table="0" count="10" xr9:uid="{0E71F68D-813B-5F4E-8C47-FCDBE9EEC60F}">
      <tableStyleElement type="wholeTable" dxfId="13"/>
      <tableStyleElement type="headerRow" dxfId="12"/>
    </tableStyle>
    <tableStyle name="SlicerStyleDark3 2" pivot="0" table="0" count="11" xr9:uid="{42FCC746-34DC-644D-83B1-8957F23955A2}">
      <tableStyleElement type="wholeTable" dxfId="11"/>
      <tableStyleElement type="headerRow" dxfId="10"/>
      <tableStyleElement type="secondColumnStripe" dxfId="9"/>
    </tableStyle>
  </tableStyles>
  <colors>
    <mruColors>
      <color rgb="FFFFAC00"/>
      <color rgb="FF2B006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02202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[RETAIL ANALYSIS DASHBOARD.xlsx]Pvot table!PivotTable11</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t>Top </a:t>
            </a:r>
          </a:p>
          <a:p>
            <a:pPr>
              <a:defRPr/>
            </a:pPr>
            <a:r>
              <a:rPr lang="en-US" b="1"/>
              <a:t>Coustomers Sale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75000658362522"/>
          <c:y val="0.21788043478260868"/>
          <c:w val="0.68447447117890747"/>
          <c:h val="0.67234637110578566"/>
        </c:manualLayout>
      </c:layout>
      <c:barChart>
        <c:barDir val="col"/>
        <c:grouping val="clustered"/>
        <c:varyColors val="0"/>
        <c:ser>
          <c:idx val="0"/>
          <c:order val="0"/>
          <c:tx>
            <c:strRef>
              <c:f>'Pvot table'!$B$3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'Pvot table'!$A$4:$A$7</c:f>
              <c:strCache>
                <c:ptCount val="3"/>
                <c:pt idx="0">
                  <c:v>Charlie</c:v>
                </c:pt>
                <c:pt idx="1">
                  <c:v>Alice</c:v>
                </c:pt>
                <c:pt idx="2">
                  <c:v>Bob</c:v>
                </c:pt>
              </c:strCache>
            </c:strRef>
          </c:cat>
          <c:val>
            <c:numRef>
              <c:f>'Pvot table'!$B$4:$B$7</c:f>
              <c:numCache>
                <c:formatCode>General</c:formatCode>
                <c:ptCount val="3"/>
                <c:pt idx="0">
                  <c:v>51689</c:v>
                </c:pt>
                <c:pt idx="1">
                  <c:v>49726</c:v>
                </c:pt>
                <c:pt idx="2">
                  <c:v>43642</c:v>
                </c:pt>
              </c:numCache>
            </c:numRef>
          </c:val>
          <c:extLst>
            <c:ext xmlns:c16="http://schemas.microsoft.com/office/drawing/2014/chart" uri="{C3380CC4-5D6E-409C-BE32-E72D297353CC}">
              <c16:uniqueId val="{00000000-3DAE-434B-B863-0300D8BEF2E8}"/>
            </c:ext>
          </c:extLst>
        </c:ser>
        <c:dLbls>
          <c:dLblPos val="inEnd"/>
          <c:showLegendKey val="0"/>
          <c:showVal val="1"/>
          <c:showCatName val="0"/>
          <c:showSerName val="0"/>
          <c:showPercent val="0"/>
          <c:showBubbleSize val="0"/>
        </c:dLbls>
        <c:gapWidth val="315"/>
        <c:overlap val="-40"/>
        <c:axId val="598802432"/>
        <c:axId val="663870016"/>
      </c:barChart>
      <c:catAx>
        <c:axId val="5988024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3870016"/>
        <c:crosses val="autoZero"/>
        <c:auto val="1"/>
        <c:lblAlgn val="ctr"/>
        <c:lblOffset val="100"/>
        <c:noMultiLvlLbl val="0"/>
      </c:catAx>
      <c:valAx>
        <c:axId val="6638700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880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outerShdw blurRad="114300" dist="50800" dir="5400000" sx="102000" sy="102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[RETAIL ANALYSIS DASHBOARD.xlsx]Pvot table!PivotTable12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Total sale of  Regions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8114610673666"/>
          <c:y val="0.16708333333333336"/>
          <c:w val="0.70006692913385826"/>
          <c:h val="0.72088764946048411"/>
        </c:manualLayout>
      </c:layout>
      <c:barChart>
        <c:barDir val="bar"/>
        <c:grouping val="clustered"/>
        <c:varyColors val="0"/>
        <c:ser>
          <c:idx val="0"/>
          <c:order val="0"/>
          <c:tx>
            <c:strRef>
              <c:f>'Pvot table'!$F$3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'Pvot table'!$E$4:$E$8</c:f>
              <c:strCache>
                <c:ptCount val="4"/>
                <c:pt idx="0">
                  <c:v>East</c:v>
                </c:pt>
                <c:pt idx="1">
                  <c:v>South</c:v>
                </c:pt>
                <c:pt idx="2">
                  <c:v>Central</c:v>
                </c:pt>
                <c:pt idx="3">
                  <c:v>West</c:v>
                </c:pt>
              </c:strCache>
            </c:strRef>
          </c:cat>
          <c:val>
            <c:numRef>
              <c:f>'Pvot table'!$F$4:$F$8</c:f>
              <c:numCache>
                <c:formatCode>General</c:formatCode>
                <c:ptCount val="4"/>
                <c:pt idx="0">
                  <c:v>93158</c:v>
                </c:pt>
                <c:pt idx="1">
                  <c:v>81448</c:v>
                </c:pt>
                <c:pt idx="2">
                  <c:v>77522</c:v>
                </c:pt>
                <c:pt idx="3">
                  <c:v>71473</c:v>
                </c:pt>
              </c:numCache>
            </c:numRef>
          </c:val>
          <c:extLst>
            <c:ext xmlns:c16="http://schemas.microsoft.com/office/drawing/2014/chart" uri="{C3380CC4-5D6E-409C-BE32-E72D297353CC}">
              <c16:uniqueId val="{00000000-D81A-4347-8C71-591DD0251DC2}"/>
            </c:ext>
          </c:extLst>
        </c:ser>
        <c:dLbls>
          <c:showLegendKey val="0"/>
          <c:showVal val="0"/>
          <c:showCatName val="0"/>
          <c:showSerName val="0"/>
          <c:showPercent val="0"/>
          <c:showBubbleSize val="0"/>
        </c:dLbls>
        <c:gapWidth val="182"/>
        <c:overlap val="-50"/>
        <c:axId val="659588864"/>
        <c:axId val="659590656"/>
      </c:barChart>
      <c:catAx>
        <c:axId val="65958886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9590656"/>
        <c:crosses val="autoZero"/>
        <c:auto val="1"/>
        <c:lblAlgn val="ctr"/>
        <c:lblOffset val="100"/>
        <c:noMultiLvlLbl val="0"/>
      </c:catAx>
      <c:valAx>
        <c:axId val="65959065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958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outerShdw blurRad="114300" dist="50800" dir="5400000" sx="102000" sy="102000" algn="ctr" rotWithShape="0">
        <a:schemeClr val="bg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[RETAIL ANALYSIS DASHBOARD.xlsx]Pvot table!PivotTable14</c:name>
    <c:fmtId val="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t>Total sum quantity of</a:t>
            </a:r>
            <a:r>
              <a:rPr lang="en-US" sz="1400" b="1" baseline="0"/>
              <a:t> products</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007831657731323E-3"/>
              <c:y val="-2.751457189059337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1119668802130347"/>
                  <c:h val="9.1641867443603059E-2"/>
                </c:manualLayout>
              </c15:layout>
            </c:ext>
          </c:extLst>
        </c:dLbl>
      </c:pivotFmt>
      <c:pivotFmt>
        <c:idx val="8"/>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0674882050045134"/>
                  <c:h val="9.1641867443603059E-2"/>
                </c:manualLayout>
              </c15:layout>
            </c:ext>
          </c:extLst>
        </c:dLbl>
      </c:pivotFmt>
      <c:pivotFmt>
        <c:idx val="9"/>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2437598900717384"/>
                  <c:h val="0.12099074412690268"/>
                </c:manualLayout>
              </c15:layout>
            </c:ext>
          </c:extLst>
        </c:dLbl>
      </c:pivotFmt>
      <c:pivotFmt>
        <c:idx val="1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8014901955051714E-3"/>
              <c:y val="-1.46742939082015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0632337230280459"/>
                  <c:h val="0.14300240163937739"/>
                </c:manualLayout>
              </c15:layout>
            </c:ext>
          </c:extLst>
        </c:dLbl>
      </c:pivotFmt>
    </c:pivotFmts>
    <c:plotArea>
      <c:layout>
        <c:manualLayout>
          <c:layoutTarget val="inner"/>
          <c:xMode val="edge"/>
          <c:yMode val="edge"/>
          <c:x val="7.3026806737292616E-2"/>
          <c:y val="0.14571480010498528"/>
          <c:w val="0.80546033509273485"/>
          <c:h val="0.77024216974945536"/>
        </c:manualLayout>
      </c:layout>
      <c:barChart>
        <c:barDir val="col"/>
        <c:grouping val="clustered"/>
        <c:varyColors val="0"/>
        <c:ser>
          <c:idx val="0"/>
          <c:order val="0"/>
          <c:tx>
            <c:strRef>
              <c:f>'Pvot table'!$L$3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6AE-BF44-BE5D-A07E08295217}"/>
              </c:ext>
            </c:extLst>
          </c:dPt>
          <c:dPt>
            <c:idx val="1"/>
            <c:invertIfNegative val="0"/>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6AE-BF44-BE5D-A07E08295217}"/>
              </c:ext>
            </c:extLst>
          </c:dPt>
          <c:dPt>
            <c:idx val="2"/>
            <c:invertIfNegative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6AE-BF44-BE5D-A07E08295217}"/>
              </c:ext>
            </c:extLst>
          </c:dPt>
          <c:dPt>
            <c:idx val="3"/>
            <c:invertIfNegative val="0"/>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6AE-BF44-BE5D-A07E08295217}"/>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0674882050045134"/>
                      <c:h val="9.1641867443603059E-2"/>
                    </c:manualLayout>
                  </c15:layout>
                </c:ext>
                <c:ext xmlns:c16="http://schemas.microsoft.com/office/drawing/2014/chart" uri="{C3380CC4-5D6E-409C-BE32-E72D297353CC}">
                  <c16:uniqueId val="{00000001-B6AE-BF44-BE5D-A07E08295217}"/>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2437598900717384"/>
                      <c:h val="0.12099074412690268"/>
                    </c:manualLayout>
                  </c15:layout>
                </c:ext>
                <c:ext xmlns:c16="http://schemas.microsoft.com/office/drawing/2014/chart" uri="{C3380CC4-5D6E-409C-BE32-E72D297353CC}">
                  <c16:uniqueId val="{00000003-B6AE-BF44-BE5D-A07E08295217}"/>
                </c:ext>
              </c:extLst>
            </c:dLbl>
            <c:dLbl>
              <c:idx val="2"/>
              <c:layout>
                <c:manualLayout>
                  <c:x val="2.9007831657731323E-3"/>
                  <c:y val="-2.751457189059337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1119668802130347"/>
                      <c:h val="9.1641867443603059E-2"/>
                    </c:manualLayout>
                  </c15:layout>
                </c:ext>
                <c:ext xmlns:c16="http://schemas.microsoft.com/office/drawing/2014/chart" uri="{C3380CC4-5D6E-409C-BE32-E72D297353CC}">
                  <c16:uniqueId val="{00000005-B6AE-BF44-BE5D-A07E08295217}"/>
                </c:ext>
              </c:extLst>
            </c:dLbl>
            <c:dLbl>
              <c:idx val="3"/>
              <c:layout>
                <c:manualLayout>
                  <c:x val="-5.8014901955051714E-3"/>
                  <c:y val="-1.467429390820156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0632337230280459"/>
                      <c:h val="0.14300240163937739"/>
                    </c:manualLayout>
                  </c15:layout>
                </c:ext>
                <c:ext xmlns:c16="http://schemas.microsoft.com/office/drawing/2014/chart" uri="{C3380CC4-5D6E-409C-BE32-E72D297353CC}">
                  <c16:uniqueId val="{00000007-B6AE-BF44-BE5D-A07E082952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'Pvot table'!$K$4:$K$8</c:f>
              <c:strCache>
                <c:ptCount val="4"/>
                <c:pt idx="0">
                  <c:v>East</c:v>
                </c:pt>
                <c:pt idx="1">
                  <c:v>South</c:v>
                </c:pt>
                <c:pt idx="2">
                  <c:v>Central</c:v>
                </c:pt>
                <c:pt idx="3">
                  <c:v>West</c:v>
                </c:pt>
              </c:strCache>
            </c:strRef>
          </c:cat>
          <c:val>
            <c:numRef>
              <c:f>'Pvot table'!$L$4:$L$8</c:f>
              <c:numCache>
                <c:formatCode>General</c:formatCode>
                <c:ptCount val="4"/>
                <c:pt idx="0">
                  <c:v>372</c:v>
                </c:pt>
                <c:pt idx="1">
                  <c:v>312</c:v>
                </c:pt>
                <c:pt idx="2">
                  <c:v>279</c:v>
                </c:pt>
                <c:pt idx="3">
                  <c:v>278</c:v>
                </c:pt>
              </c:numCache>
            </c:numRef>
          </c:val>
          <c:extLst>
            <c:ext xmlns:c16="http://schemas.microsoft.com/office/drawing/2014/chart" uri="{C3380CC4-5D6E-409C-BE32-E72D297353CC}">
              <c16:uniqueId val="{00000008-B6AE-BF44-BE5D-A07E08295217}"/>
            </c:ext>
          </c:extLst>
        </c:ser>
        <c:dLbls>
          <c:dLblPos val="outEnd"/>
          <c:showLegendKey val="0"/>
          <c:showVal val="1"/>
          <c:showCatName val="0"/>
          <c:showSerName val="0"/>
          <c:showPercent val="0"/>
          <c:showBubbleSize val="0"/>
        </c:dLbls>
        <c:gapWidth val="100"/>
        <c:axId val="885096448"/>
        <c:axId val="255761407"/>
      </c:barChart>
      <c:catAx>
        <c:axId val="88509644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5761407"/>
        <c:crosses val="autoZero"/>
        <c:auto val="1"/>
        <c:lblAlgn val="ctr"/>
        <c:lblOffset val="100"/>
        <c:noMultiLvlLbl val="0"/>
      </c:catAx>
      <c:valAx>
        <c:axId val="255761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509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101600" dist="50800" dir="5400000" sx="102000" sy="102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[RETAIL ANALYSIS DASHBOARD.xlsx]Pvot table!PivotTable13</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a:t>
            </a:r>
            <a:r>
              <a:rPr lang="en-US" baseline="0"/>
              <a:t> by sub-category</a:t>
            </a:r>
          </a:p>
          <a:p>
            <a:pPr>
              <a:defRPr/>
            </a:pPr>
            <a:endParaRPr lang="en-US"/>
          </a:p>
        </c:rich>
      </c:tx>
      <c:layout>
        <c:manualLayout>
          <c:xMode val="edge"/>
          <c:yMode val="edge"/>
          <c:x val="0.35928871667586521"/>
          <c:y val="5.48945635363510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6472031905103"/>
          <c:y val="0.1629262413626868"/>
          <c:w val="0.70925196850393701"/>
          <c:h val="0.72088764946048411"/>
        </c:manualLayout>
      </c:layout>
      <c:lineChart>
        <c:grouping val="standard"/>
        <c:varyColors val="0"/>
        <c:ser>
          <c:idx val="0"/>
          <c:order val="0"/>
          <c:tx>
            <c:strRef>
              <c:f>'Pvot table'!$I$3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'Pvot table'!$H$4:$H$9</c:f>
              <c:strCache>
                <c:ptCount val="5"/>
                <c:pt idx="0">
                  <c:v>Accessories</c:v>
                </c:pt>
                <c:pt idx="1">
                  <c:v>Binders</c:v>
                </c:pt>
                <c:pt idx="2">
                  <c:v>Chairs</c:v>
                </c:pt>
                <c:pt idx="3">
                  <c:v>Phones</c:v>
                </c:pt>
                <c:pt idx="4">
                  <c:v>Tables</c:v>
                </c:pt>
              </c:strCache>
            </c:strRef>
          </c:cat>
          <c:val>
            <c:numRef>
              <c:f>'Pvot table'!$I$4:$I$9</c:f>
              <c:numCache>
                <c:formatCode>General</c:formatCode>
                <c:ptCount val="5"/>
                <c:pt idx="0">
                  <c:v>74035</c:v>
                </c:pt>
                <c:pt idx="1">
                  <c:v>71945</c:v>
                </c:pt>
                <c:pt idx="2">
                  <c:v>67872</c:v>
                </c:pt>
                <c:pt idx="3">
                  <c:v>54607</c:v>
                </c:pt>
                <c:pt idx="4">
                  <c:v>55142</c:v>
                </c:pt>
              </c:numCache>
            </c:numRef>
          </c:val>
          <c:smooth val="0"/>
          <c:extLst>
            <c:ext xmlns:c16="http://schemas.microsoft.com/office/drawing/2014/chart" uri="{C3380CC4-5D6E-409C-BE32-E72D297353CC}">
              <c16:uniqueId val="{00000000-70B5-244E-B9F0-2CC7500F4F9F}"/>
            </c:ext>
          </c:extLst>
        </c:ser>
        <c:dLbls>
          <c:dLblPos val="ctr"/>
          <c:showLegendKey val="0"/>
          <c:showVal val="1"/>
          <c:showCatName val="0"/>
          <c:showSerName val="0"/>
          <c:showPercent val="0"/>
          <c:showBubbleSize val="0"/>
        </c:dLbls>
        <c:marker val="1"/>
        <c:smooth val="0"/>
        <c:axId val="571352256"/>
        <c:axId val="655128576"/>
      </c:lineChart>
      <c:catAx>
        <c:axId val="5713522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5128576"/>
        <c:crosses val="autoZero"/>
        <c:auto val="1"/>
        <c:lblAlgn val="ctr"/>
        <c:lblOffset val="100"/>
        <c:noMultiLvlLbl val="0"/>
      </c:catAx>
      <c:valAx>
        <c:axId val="6551285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135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outerShdw blurRad="114300" dist="50800" dir="5400000" sx="102000" sy="102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[RETAIL ANALYSIS DASHBOARD.xlsx]Pvot table!PivotTable15</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Total discount of categories</a:t>
            </a:r>
            <a:r>
              <a:rPr lang="en-US" sz="1400" baseline="0"/>
              <a:t> </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'Pvot table'!$O$3</c:f>
              <c:strCache>
                <c:ptCount val="1"/>
                <c:pt idx="0">
                  <c:v>Total</c:v>
                </c:pt>
              </c:strCache>
            </c:strRef>
          </c:tx>
          <c:dPt>
            <c:idx val="0"/>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E01-7147-BFC4-33515220BD77}"/>
              </c:ext>
            </c:extLst>
          </c:dPt>
          <c:dPt>
            <c:idx val="1"/>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E01-7147-BFC4-33515220BD77}"/>
              </c:ext>
            </c:extLst>
          </c:dPt>
          <c:dPt>
            <c:idx val="2"/>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E01-7147-BFC4-33515220BD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'Pvot table'!$N$4:$N$7</c:f>
              <c:strCache>
                <c:ptCount val="3"/>
                <c:pt idx="0">
                  <c:v>Furniture</c:v>
                </c:pt>
                <c:pt idx="1">
                  <c:v>Technology</c:v>
                </c:pt>
                <c:pt idx="2">
                  <c:v>Office Supplies</c:v>
                </c:pt>
              </c:strCache>
            </c:strRef>
          </c:cat>
          <c:val>
            <c:numRef>
              <c:f>'Pvot table'!$O$4:$O$7</c:f>
              <c:numCache>
                <c:formatCode>General</c:formatCode>
                <c:ptCount val="3"/>
                <c:pt idx="0">
                  <c:v>12.999999999999998</c:v>
                </c:pt>
                <c:pt idx="1">
                  <c:v>10.899999999999991</c:v>
                </c:pt>
                <c:pt idx="2">
                  <c:v>10.099999999999993</c:v>
                </c:pt>
              </c:numCache>
            </c:numRef>
          </c:val>
          <c:extLst>
            <c:ext xmlns:c16="http://schemas.microsoft.com/office/drawing/2014/chart" uri="{C3380CC4-5D6E-409C-BE32-E72D297353CC}">
              <c16:uniqueId val="{00000006-0E01-7147-BFC4-33515220BD77}"/>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114300" dist="38100" dir="5400000" sx="102000" sy="102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516371</xdr:colOff>
      <xdr:row>3</xdr:row>
      <xdr:rowOff>31956</xdr:rowOff>
    </xdr:from>
    <xdr:to>
      <xdr:col>28</xdr:col>
      <xdr:colOff>113042</xdr:colOff>
      <xdr:row>59</xdr:row>
      <xdr:rowOff>94901</xdr:rowOff>
    </xdr:to>
    <xdr:sp macro="" textlink="">
      <xdr:nvSpPr>
        <xdr:cNvPr id="6" name="Rounded Rectangle 5">
          <a:extLst>
            <a:ext uri="{FF2B5EF4-FFF2-40B4-BE49-F238E27FC236}">
              <a16:creationId xmlns:a16="http://schemas.microsoft.com/office/drawing/2014/main" id="{9A29F9B7-571A-BF54-0DBA-7529B4685407}"/>
            </a:ext>
          </a:extLst>
        </xdr:cNvPr>
        <xdr:cNvSpPr/>
      </xdr:nvSpPr>
      <xdr:spPr>
        <a:xfrm>
          <a:off x="1434679" y="618110"/>
          <a:ext cx="22515286" cy="11004483"/>
        </a:xfrm>
        <a:prstGeom prst="roundRect">
          <a:avLst/>
        </a:prstGeom>
        <a:solidFill>
          <a:schemeClr val="accent2">
            <a:lumMod val="75000"/>
          </a:schemeClr>
        </a:solidFill>
        <a:ln w="9525">
          <a:solidFill>
            <a:schemeClr val="bg1">
              <a:lumMod val="75000"/>
            </a:schemeClr>
          </a:solidFill>
        </a:ln>
        <a:effectLst>
          <a:glow>
            <a:schemeClr val="accent1">
              <a:alpha val="33068"/>
            </a:schemeClr>
          </a:glow>
          <a:outerShdw blurRad="165100" dist="50800" dir="11400000" algn="ctr"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2800" b="1" i="0" u="none" baseline="0">
              <a:solidFill>
                <a:schemeClr val="bg1"/>
              </a:solidFill>
              <a:latin typeface="+mj-lt"/>
              <a:ea typeface="+mn-ea"/>
              <a:cs typeface="+mn-cs"/>
            </a:rPr>
            <a:t>RETAIL SALES ANALYSIS  DASHBOARD</a:t>
          </a:r>
          <a:endParaRPr lang="en-GB" sz="2800" b="1" i="0" u="none">
            <a:solidFill>
              <a:schemeClr val="bg1"/>
            </a:solidFill>
            <a:latin typeface="+mj-lt"/>
            <a:ea typeface="+mn-ea"/>
            <a:cs typeface="+mn-cs"/>
          </a:endParaRPr>
        </a:p>
      </xdr:txBody>
    </xdr:sp>
    <xdr:clientData/>
  </xdr:twoCellAnchor>
  <xdr:twoCellAnchor>
    <xdr:from>
      <xdr:col>11</xdr:col>
      <xdr:colOff>29915</xdr:colOff>
      <xdr:row>9</xdr:row>
      <xdr:rowOff>191124</xdr:rowOff>
    </xdr:from>
    <xdr:to>
      <xdr:col>18</xdr:col>
      <xdr:colOff>271173</xdr:colOff>
      <xdr:row>28</xdr:row>
      <xdr:rowOff>172980</xdr:rowOff>
    </xdr:to>
    <xdr:graphicFrame macro="">
      <xdr:nvGraphicFramePr>
        <xdr:cNvPr id="12" name="Chart 11">
          <a:extLst>
            <a:ext uri="{FF2B5EF4-FFF2-40B4-BE49-F238E27FC236}">
              <a16:creationId xmlns:a16="http://schemas.microsoft.com/office/drawing/2014/main" id="{B1FE52D4-1267-E542-BCB7-B3888BCAC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595249</xdr:colOff>
      <xdr:row>9</xdr:row>
      <xdr:rowOff>145143</xdr:rowOff>
    </xdr:from>
    <xdr:to>
      <xdr:col>26</xdr:col>
      <xdr:colOff>199570</xdr:colOff>
      <xdr:row>28</xdr:row>
      <xdr:rowOff>181429</xdr:rowOff>
    </xdr:to>
    <xdr:graphicFrame macro="">
      <xdr:nvGraphicFramePr>
        <xdr:cNvPr id="14" name="Chart 13">
          <a:extLst>
            <a:ext uri="{FF2B5EF4-FFF2-40B4-BE49-F238E27FC236}">
              <a16:creationId xmlns:a16="http://schemas.microsoft.com/office/drawing/2014/main" id="{0EFA658A-A4D4-9349-AB6C-FCF44AD03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72571</xdr:colOff>
      <xdr:row>34</xdr:row>
      <xdr:rowOff>183738</xdr:rowOff>
    </xdr:from>
    <xdr:to>
      <xdr:col>18</xdr:col>
      <xdr:colOff>362857</xdr:colOff>
      <xdr:row>53</xdr:row>
      <xdr:rowOff>0</xdr:rowOff>
    </xdr:to>
    <xdr:graphicFrame macro="">
      <xdr:nvGraphicFramePr>
        <xdr:cNvPr id="18" name="Chart 17">
          <a:extLst>
            <a:ext uri="{FF2B5EF4-FFF2-40B4-BE49-F238E27FC236}">
              <a16:creationId xmlns:a16="http://schemas.microsoft.com/office/drawing/2014/main" id="{7D386015-DCB1-F24B-9BA0-DB16A78E8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163284</xdr:colOff>
      <xdr:row>35</xdr:row>
      <xdr:rowOff>36286</xdr:rowOff>
    </xdr:from>
    <xdr:to>
      <xdr:col>9</xdr:col>
      <xdr:colOff>272141</xdr:colOff>
      <xdr:row>53</xdr:row>
      <xdr:rowOff>90713</xdr:rowOff>
    </xdr:to>
    <xdr:graphicFrame macro="">
      <xdr:nvGraphicFramePr>
        <xdr:cNvPr id="19" name="Chart 18">
          <a:extLst>
            <a:ext uri="{FF2B5EF4-FFF2-40B4-BE49-F238E27FC236}">
              <a16:creationId xmlns:a16="http://schemas.microsoft.com/office/drawing/2014/main" id="{E304FFB0-D16C-6943-9392-D1C36E39C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635000</xdr:colOff>
      <xdr:row>35</xdr:row>
      <xdr:rowOff>54429</xdr:rowOff>
    </xdr:from>
    <xdr:to>
      <xdr:col>26</xdr:col>
      <xdr:colOff>181429</xdr:colOff>
      <xdr:row>53</xdr:row>
      <xdr:rowOff>108857</xdr:rowOff>
    </xdr:to>
    <xdr:graphicFrame macro="">
      <xdr:nvGraphicFramePr>
        <xdr:cNvPr id="20" name="Chart 19">
          <a:extLst>
            <a:ext uri="{FF2B5EF4-FFF2-40B4-BE49-F238E27FC236}">
              <a16:creationId xmlns:a16="http://schemas.microsoft.com/office/drawing/2014/main" id="{798FD752-4567-5344-9830-36A54C4C1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235857</xdr:colOff>
      <xdr:row>9</xdr:row>
      <xdr:rowOff>181428</xdr:rowOff>
    </xdr:from>
    <xdr:to>
      <xdr:col>9</xdr:col>
      <xdr:colOff>344714</xdr:colOff>
      <xdr:row>28</xdr:row>
      <xdr:rowOff>145142</xdr:rowOff>
    </xdr:to>
    <xdr:sp macro="" textlink="">
      <xdr:nvSpPr>
        <xdr:cNvPr id="23" name="Rounded Rectangle 22">
          <a:extLst>
            <a:ext uri="{FF2B5EF4-FFF2-40B4-BE49-F238E27FC236}">
              <a16:creationId xmlns:a16="http://schemas.microsoft.com/office/drawing/2014/main" id="{C8C26883-B7FB-11C0-5109-ECFFC7ED11D2}"/>
            </a:ext>
          </a:extLst>
        </xdr:cNvPr>
        <xdr:cNvSpPr/>
      </xdr:nvSpPr>
      <xdr:spPr>
        <a:xfrm>
          <a:off x="2794000" y="1977571"/>
          <a:ext cx="5225143" cy="3755571"/>
        </a:xfrm>
        <a:prstGeom prst="roundRect">
          <a:avLst/>
        </a:prstGeom>
        <a:solidFill>
          <a:schemeClr val="tx1">
            <a:lumMod val="75000"/>
            <a:lumOff val="25000"/>
          </a:schemeClr>
        </a:solidFill>
        <a:ln>
          <a:solidFill>
            <a:schemeClr val="bg1">
              <a:lumMod val="85000"/>
              <a:alpha val="98000"/>
            </a:schemeClr>
          </a:solidFill>
        </a:ln>
        <a:effectLst>
          <a:outerShdw blurRad="76200" dist="38100" dir="5340000" algn="tl"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745672</xdr:colOff>
      <xdr:row>13</xdr:row>
      <xdr:rowOff>128814</xdr:rowOff>
    </xdr:from>
    <xdr:to>
      <xdr:col>8</xdr:col>
      <xdr:colOff>731158</xdr:colOff>
      <xdr:row>24</xdr:row>
      <xdr:rowOff>39915</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695A5B9C-D02A-2E8C-F632-817CBB26F1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25672" y="2521568"/>
              <a:ext cx="1734037" cy="19357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237671</xdr:colOff>
      <xdr:row>13</xdr:row>
      <xdr:rowOff>116115</xdr:rowOff>
    </xdr:from>
    <xdr:to>
      <xdr:col>6</xdr:col>
      <xdr:colOff>136070</xdr:colOff>
      <xdr:row>24</xdr:row>
      <xdr:rowOff>39916</xdr:rowOff>
    </xdr:to>
    <mc:AlternateContent xmlns:mc="http://schemas.openxmlformats.org/markup-compatibility/2006" xmlns:a14="http://schemas.microsoft.com/office/drawing/2010/main">
      <mc:Choice Requires="a14">
        <xdr:graphicFrame macro="">
          <xdr:nvGraphicFramePr>
            <xdr:cNvPr id="22" name="Product Category">
              <a:extLst>
                <a:ext uri="{FF2B5EF4-FFF2-40B4-BE49-F238E27FC236}">
                  <a16:creationId xmlns:a16="http://schemas.microsoft.com/office/drawing/2014/main" id="{1E8812B9-F493-EBB2-A724-1A52924C2F4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605932" y="2508869"/>
              <a:ext cx="1610138" cy="19484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86.671884722222" createdVersion="8" refreshedVersion="8" minRefreshableVersion="3" recordCount="247" xr:uid="{8E88303B-BEF1-5B41-9B7E-7A141DDD6C0F}">
  <cacheSource type="worksheet">
    <worksheetSource name="Sheet1"/>
  </cacheSource>
  <cacheFields count="13">
    <cacheField name="Order ID" numFmtId="0">
      <sharedItems containsSemiMixedTypes="0" containsString="0" containsNumber="1" containsInteger="1" minValue="1001" maxValue="1996"/>
    </cacheField>
    <cacheField name="Order Date" numFmtId="165">
      <sharedItems containsSemiMixedTypes="0" containsNonDate="0" containsDate="1" containsString="0" minDate="2022-01-01T00:00:00" maxDate="2022-09-05T00:00:00"/>
    </cacheField>
    <cacheField name="Customer Name" numFmtId="0">
      <sharedItems count="7">
        <s v="Frank"/>
        <s v="Grace"/>
        <s v="David"/>
        <s v="Charlie"/>
        <s v="Alice"/>
        <s v="Eva"/>
        <s v="Bob"/>
      </sharedItems>
    </cacheField>
    <cacheField name="Region" numFmtId="0">
      <sharedItems count="4">
        <s v="Central"/>
        <s v="East"/>
        <s v="West"/>
        <s v="South"/>
      </sharedItems>
    </cacheField>
    <cacheField name="Product Category" numFmtId="0">
      <sharedItems count="3">
        <s v="Technology"/>
        <s v="Furniture"/>
        <s v="Office Supplies"/>
      </sharedItems>
    </cacheField>
    <cacheField name="SubCategory" numFmtId="0">
      <sharedItems count="5">
        <s v="Tables"/>
        <s v="Phones"/>
        <s v="Binders"/>
        <s v="Chairs"/>
        <s v="Accessorie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22" maxValue="497"/>
    </cacheField>
    <cacheField name="Discount" numFmtId="0">
      <sharedItems containsSemiMixedTypes="0" containsString="0" containsNumber="1" minValue="0" maxValue="0.3"/>
    </cacheField>
    <cacheField name="Sales" numFmtId="1">
      <sharedItems containsSemiMixedTypes="0" containsString="0" containsNumber="1" containsInteger="1" minValue="27" maxValue="4437"/>
    </cacheField>
    <cacheField name="Profit" numFmtId="0">
      <sharedItems containsSemiMixedTypes="0" containsString="0" containsNumber="1" containsInteger="1" minValue="3" maxValue="1156"/>
    </cacheField>
    <cacheField name="Returned" numFmtId="0">
      <sharedItems/>
    </cacheField>
    <cacheField name="total revenue" numFmtId="2">
      <sharedItems containsSemiMixedTypes="0" containsString="0" containsNumber="1" minValue="27" maxValue="4436.7"/>
    </cacheField>
  </cacheFields>
  <extLst>
    <ext xmlns:x14="http://schemas.microsoft.com/office/spreadsheetml/2009/9/main" uri="{725AE2AE-9491-48be-B2B4-4EB974FC3084}">
      <x14:pivotCacheDefinition pivotCacheId="189988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7">
  <r>
    <n v="1102"/>
    <d v="2022-01-01T00:00:00"/>
    <x v="0"/>
    <x v="0"/>
    <x v="0"/>
    <x v="0"/>
    <n v="7"/>
    <n v="420"/>
    <n v="0.3"/>
    <n v="2940"/>
    <n v="457"/>
    <s v="No"/>
    <n v="2939.7"/>
  </r>
  <r>
    <n v="1435"/>
    <d v="2022-01-02T00:00:00"/>
    <x v="1"/>
    <x v="1"/>
    <x v="0"/>
    <x v="1"/>
    <n v="1"/>
    <n v="413"/>
    <n v="0.1"/>
    <n v="413"/>
    <n v="100"/>
    <s v="No"/>
    <n v="412.9"/>
  </r>
  <r>
    <n v="1860"/>
    <d v="2022-01-03T00:00:00"/>
    <x v="2"/>
    <x v="2"/>
    <x v="1"/>
    <x v="1"/>
    <n v="2"/>
    <n v="393"/>
    <n v="0"/>
    <n v="786"/>
    <n v="164"/>
    <s v="No"/>
    <n v="786"/>
  </r>
  <r>
    <n v="1270"/>
    <d v="2022-01-04T00:00:00"/>
    <x v="1"/>
    <x v="2"/>
    <x v="0"/>
    <x v="2"/>
    <n v="3"/>
    <n v="212"/>
    <n v="0.2"/>
    <n v="636"/>
    <n v="122"/>
    <s v="No"/>
    <n v="635.79999999999995"/>
  </r>
  <r>
    <n v="1106"/>
    <d v="2022-01-05T00:00:00"/>
    <x v="3"/>
    <x v="2"/>
    <x v="2"/>
    <x v="1"/>
    <n v="1"/>
    <n v="41"/>
    <n v="0"/>
    <n v="41"/>
    <n v="4"/>
    <s v="No"/>
    <n v="41"/>
  </r>
  <r>
    <n v="1071"/>
    <d v="2022-01-06T00:00:00"/>
    <x v="3"/>
    <x v="3"/>
    <x v="2"/>
    <x v="3"/>
    <n v="9"/>
    <n v="493"/>
    <n v="0.3"/>
    <n v="4437"/>
    <n v="514"/>
    <s v="No"/>
    <n v="4436.7"/>
  </r>
  <r>
    <n v="1700"/>
    <d v="2022-01-07T00:00:00"/>
    <x v="4"/>
    <x v="1"/>
    <x v="1"/>
    <x v="2"/>
    <n v="8"/>
    <n v="139"/>
    <n v="0.1"/>
    <n v="1112"/>
    <n v="52"/>
    <s v="No"/>
    <n v="1111.9000000000001"/>
  </r>
  <r>
    <n v="1614"/>
    <d v="2022-01-08T00:00:00"/>
    <x v="0"/>
    <x v="3"/>
    <x v="2"/>
    <x v="0"/>
    <n v="9"/>
    <n v="325"/>
    <n v="0.1"/>
    <n v="2925"/>
    <n v="610"/>
    <s v="No"/>
    <n v="2924.9"/>
  </r>
  <r>
    <n v="1121"/>
    <d v="2022-01-09T00:00:00"/>
    <x v="5"/>
    <x v="2"/>
    <x v="2"/>
    <x v="2"/>
    <n v="7"/>
    <n v="289"/>
    <n v="0.3"/>
    <n v="2023"/>
    <n v="422"/>
    <s v="No"/>
    <n v="2022.7"/>
  </r>
  <r>
    <n v="1466"/>
    <d v="2022-01-10T00:00:00"/>
    <x v="2"/>
    <x v="2"/>
    <x v="2"/>
    <x v="0"/>
    <n v="9"/>
    <n v="211"/>
    <n v="0.1"/>
    <n v="1899"/>
    <n v="128"/>
    <s v="No"/>
    <n v="1898.9"/>
  </r>
  <r>
    <n v="1214"/>
    <d v="2022-01-11T00:00:00"/>
    <x v="6"/>
    <x v="3"/>
    <x v="1"/>
    <x v="2"/>
    <n v="6"/>
    <n v="194"/>
    <n v="0.1"/>
    <n v="1164"/>
    <n v="158"/>
    <s v="No"/>
    <n v="1163.9000000000001"/>
  </r>
  <r>
    <n v="1458"/>
    <d v="2022-01-12T00:00:00"/>
    <x v="0"/>
    <x v="0"/>
    <x v="0"/>
    <x v="1"/>
    <n v="4"/>
    <n v="223"/>
    <n v="0.1"/>
    <n v="892"/>
    <n v="81"/>
    <s v="No"/>
    <n v="891.9"/>
  </r>
  <r>
    <n v="1087"/>
    <d v="2022-01-13T00:00:00"/>
    <x v="3"/>
    <x v="3"/>
    <x v="2"/>
    <x v="4"/>
    <n v="2"/>
    <n v="183"/>
    <n v="0.2"/>
    <n v="366"/>
    <n v="55"/>
    <s v="No"/>
    <n v="365.8"/>
  </r>
  <r>
    <n v="1372"/>
    <d v="2022-01-14T00:00:00"/>
    <x v="1"/>
    <x v="1"/>
    <x v="0"/>
    <x v="0"/>
    <n v="7"/>
    <n v="270"/>
    <n v="0.2"/>
    <n v="1890"/>
    <n v="353"/>
    <s v="No"/>
    <n v="1889.8"/>
  </r>
  <r>
    <n v="1099"/>
    <d v="2022-01-15T00:00:00"/>
    <x v="4"/>
    <x v="2"/>
    <x v="1"/>
    <x v="1"/>
    <n v="5"/>
    <n v="246"/>
    <n v="0.1"/>
    <n v="1230"/>
    <n v="226"/>
    <s v="No"/>
    <n v="1229.9000000000001"/>
  </r>
  <r>
    <n v="1663"/>
    <d v="2022-01-16T00:00:00"/>
    <x v="2"/>
    <x v="1"/>
    <x v="1"/>
    <x v="1"/>
    <n v="2"/>
    <n v="400"/>
    <n v="0.3"/>
    <n v="800"/>
    <n v="78"/>
    <s v="Yes"/>
    <n v="799.7"/>
  </r>
  <r>
    <n v="1661"/>
    <d v="2022-01-17T00:00:00"/>
    <x v="0"/>
    <x v="2"/>
    <x v="1"/>
    <x v="1"/>
    <n v="4"/>
    <n v="26"/>
    <n v="0.1"/>
    <n v="104"/>
    <n v="20"/>
    <s v="No"/>
    <n v="103.9"/>
  </r>
  <r>
    <n v="1308"/>
    <d v="2022-01-18T00:00:00"/>
    <x v="5"/>
    <x v="2"/>
    <x v="1"/>
    <x v="3"/>
    <n v="9"/>
    <n v="48"/>
    <n v="0.1"/>
    <n v="432"/>
    <n v="20"/>
    <s v="No"/>
    <n v="431.9"/>
  </r>
  <r>
    <n v="1769"/>
    <d v="2022-01-19T00:00:00"/>
    <x v="3"/>
    <x v="2"/>
    <x v="1"/>
    <x v="1"/>
    <n v="6"/>
    <n v="414"/>
    <n v="0.1"/>
    <n v="2484"/>
    <n v="597"/>
    <s v="No"/>
    <n v="2483.9"/>
  </r>
  <r>
    <n v="1343"/>
    <d v="2022-01-20T00:00:00"/>
    <x v="2"/>
    <x v="1"/>
    <x v="2"/>
    <x v="3"/>
    <n v="2"/>
    <n v="52"/>
    <n v="0"/>
    <n v="104"/>
    <n v="6"/>
    <s v="No"/>
    <n v="104"/>
  </r>
  <r>
    <n v="1491"/>
    <d v="2022-01-21T00:00:00"/>
    <x v="2"/>
    <x v="3"/>
    <x v="0"/>
    <x v="0"/>
    <n v="1"/>
    <n v="153"/>
    <n v="0.2"/>
    <n v="153"/>
    <n v="29"/>
    <s v="Yes"/>
    <n v="152.80000000000001"/>
  </r>
  <r>
    <n v="1413"/>
    <d v="2022-01-22T00:00:00"/>
    <x v="3"/>
    <x v="2"/>
    <x v="1"/>
    <x v="4"/>
    <n v="5"/>
    <n v="386"/>
    <n v="0.1"/>
    <n v="1930"/>
    <n v="175"/>
    <s v="No"/>
    <n v="1929.9"/>
  </r>
  <r>
    <n v="1805"/>
    <d v="2022-01-23T00:00:00"/>
    <x v="2"/>
    <x v="3"/>
    <x v="2"/>
    <x v="2"/>
    <n v="9"/>
    <n v="98"/>
    <n v="0.3"/>
    <n v="882"/>
    <n v="179"/>
    <s v="Yes"/>
    <n v="881.7"/>
  </r>
  <r>
    <n v="1191"/>
    <d v="2022-01-24T00:00:00"/>
    <x v="6"/>
    <x v="2"/>
    <x v="0"/>
    <x v="4"/>
    <n v="7"/>
    <n v="454"/>
    <n v="0.3"/>
    <n v="3178"/>
    <n v="293"/>
    <s v="No"/>
    <n v="3177.7"/>
  </r>
  <r>
    <n v="1955"/>
    <d v="2022-01-25T00:00:00"/>
    <x v="3"/>
    <x v="2"/>
    <x v="1"/>
    <x v="2"/>
    <n v="5"/>
    <n v="478"/>
    <n v="0.1"/>
    <n v="2390"/>
    <n v="188"/>
    <s v="No"/>
    <n v="2389.9"/>
  </r>
  <r>
    <n v="1276"/>
    <d v="2022-01-26T00:00:00"/>
    <x v="1"/>
    <x v="0"/>
    <x v="0"/>
    <x v="2"/>
    <n v="6"/>
    <n v="77"/>
    <n v="0.1"/>
    <n v="462"/>
    <n v="58"/>
    <s v="No"/>
    <n v="461.9"/>
  </r>
  <r>
    <n v="1160"/>
    <d v="2022-01-27T00:00:00"/>
    <x v="3"/>
    <x v="2"/>
    <x v="1"/>
    <x v="3"/>
    <n v="5"/>
    <n v="490"/>
    <n v="0.1"/>
    <n v="2450"/>
    <n v="659"/>
    <s v="No"/>
    <n v="2449.9"/>
  </r>
  <r>
    <n v="1459"/>
    <d v="2022-01-28T00:00:00"/>
    <x v="2"/>
    <x v="3"/>
    <x v="2"/>
    <x v="0"/>
    <n v="9"/>
    <n v="45"/>
    <n v="0.1"/>
    <n v="405"/>
    <n v="121"/>
    <s v="No"/>
    <n v="404.9"/>
  </r>
  <r>
    <n v="1313"/>
    <d v="2022-01-29T00:00:00"/>
    <x v="1"/>
    <x v="1"/>
    <x v="2"/>
    <x v="0"/>
    <n v="6"/>
    <n v="449"/>
    <n v="0"/>
    <n v="2694"/>
    <n v="383"/>
    <s v="No"/>
    <n v="2694"/>
  </r>
  <r>
    <n v="1021"/>
    <d v="2022-01-30T00:00:00"/>
    <x v="2"/>
    <x v="3"/>
    <x v="2"/>
    <x v="4"/>
    <n v="8"/>
    <n v="245"/>
    <n v="0.3"/>
    <n v="1960"/>
    <n v="222"/>
    <s v="No"/>
    <n v="1959.7"/>
  </r>
  <r>
    <n v="1252"/>
    <d v="2022-01-31T00:00:00"/>
    <x v="4"/>
    <x v="1"/>
    <x v="2"/>
    <x v="0"/>
    <n v="2"/>
    <n v="304"/>
    <n v="0.1"/>
    <n v="608"/>
    <n v="140"/>
    <s v="No"/>
    <n v="607.9"/>
  </r>
  <r>
    <n v="1747"/>
    <d v="2022-02-01T00:00:00"/>
    <x v="4"/>
    <x v="1"/>
    <x v="0"/>
    <x v="1"/>
    <n v="9"/>
    <n v="23"/>
    <n v="0"/>
    <n v="207"/>
    <n v="56"/>
    <s v="No"/>
    <n v="207"/>
  </r>
  <r>
    <n v="1856"/>
    <d v="2022-02-02T00:00:00"/>
    <x v="1"/>
    <x v="3"/>
    <x v="1"/>
    <x v="0"/>
    <n v="5"/>
    <n v="484"/>
    <n v="0.3"/>
    <n v="2420"/>
    <n v="336"/>
    <s v="No"/>
    <n v="2419.6999999999998"/>
  </r>
  <r>
    <n v="1560"/>
    <d v="2022-02-03T00:00:00"/>
    <x v="6"/>
    <x v="3"/>
    <x v="1"/>
    <x v="4"/>
    <n v="7"/>
    <n v="118"/>
    <n v="0.1"/>
    <n v="826"/>
    <n v="110"/>
    <s v="No"/>
    <n v="825.9"/>
  </r>
  <r>
    <n v="1474"/>
    <d v="2022-02-04T00:00:00"/>
    <x v="4"/>
    <x v="3"/>
    <x v="0"/>
    <x v="0"/>
    <n v="1"/>
    <n v="416"/>
    <n v="0"/>
    <n v="416"/>
    <n v="64"/>
    <s v="No"/>
    <n v="416"/>
  </r>
  <r>
    <n v="1058"/>
    <d v="2022-02-05T00:00:00"/>
    <x v="3"/>
    <x v="3"/>
    <x v="1"/>
    <x v="1"/>
    <n v="5"/>
    <n v="58"/>
    <n v="0.2"/>
    <n v="290"/>
    <n v="52"/>
    <s v="No"/>
    <n v="289.8"/>
  </r>
  <r>
    <n v="1510"/>
    <d v="2022-02-06T00:00:00"/>
    <x v="2"/>
    <x v="0"/>
    <x v="2"/>
    <x v="3"/>
    <n v="2"/>
    <n v="290"/>
    <n v="0"/>
    <n v="580"/>
    <n v="29"/>
    <s v="Yes"/>
    <n v="580"/>
  </r>
  <r>
    <n v="1475"/>
    <d v="2022-02-07T00:00:00"/>
    <x v="4"/>
    <x v="1"/>
    <x v="2"/>
    <x v="3"/>
    <n v="1"/>
    <n v="304"/>
    <n v="0.3"/>
    <n v="304"/>
    <n v="30"/>
    <s v="No"/>
    <n v="303.7"/>
  </r>
  <r>
    <n v="1699"/>
    <d v="2022-02-08T00:00:00"/>
    <x v="6"/>
    <x v="3"/>
    <x v="0"/>
    <x v="3"/>
    <n v="3"/>
    <n v="176"/>
    <n v="0.1"/>
    <n v="528"/>
    <n v="118"/>
    <s v="No"/>
    <n v="527.9"/>
  </r>
  <r>
    <n v="1975"/>
    <d v="2022-02-09T00:00:00"/>
    <x v="1"/>
    <x v="3"/>
    <x v="1"/>
    <x v="3"/>
    <n v="5"/>
    <n v="94"/>
    <n v="0.2"/>
    <n v="470"/>
    <n v="28"/>
    <s v="No"/>
    <n v="469.8"/>
  </r>
  <r>
    <n v="1782"/>
    <d v="2022-02-10T00:00:00"/>
    <x v="1"/>
    <x v="3"/>
    <x v="0"/>
    <x v="2"/>
    <n v="4"/>
    <n v="391"/>
    <n v="0.1"/>
    <n v="1564"/>
    <n v="308"/>
    <s v="No"/>
    <n v="1563.9"/>
  </r>
  <r>
    <n v="1189"/>
    <d v="2022-02-11T00:00:00"/>
    <x v="0"/>
    <x v="0"/>
    <x v="1"/>
    <x v="2"/>
    <n v="3"/>
    <n v="307"/>
    <n v="0.1"/>
    <n v="921"/>
    <n v="157"/>
    <s v="No"/>
    <n v="920.9"/>
  </r>
  <r>
    <n v="1686"/>
    <d v="2022-02-12T00:00:00"/>
    <x v="3"/>
    <x v="3"/>
    <x v="0"/>
    <x v="4"/>
    <n v="8"/>
    <n v="194"/>
    <n v="0.3"/>
    <n v="1552"/>
    <n v="72"/>
    <s v="No"/>
    <n v="1551.7"/>
  </r>
  <r>
    <n v="1562"/>
    <d v="2022-02-13T00:00:00"/>
    <x v="2"/>
    <x v="2"/>
    <x v="2"/>
    <x v="1"/>
    <n v="1"/>
    <n v="103"/>
    <n v="0.1"/>
    <n v="103"/>
    <n v="20"/>
    <s v="No"/>
    <n v="102.9"/>
  </r>
  <r>
    <n v="1875"/>
    <d v="2022-02-14T00:00:00"/>
    <x v="6"/>
    <x v="0"/>
    <x v="0"/>
    <x v="0"/>
    <n v="7"/>
    <n v="41"/>
    <n v="0.2"/>
    <n v="287"/>
    <n v="44"/>
    <s v="No"/>
    <n v="286.8"/>
  </r>
  <r>
    <n v="1566"/>
    <d v="2022-02-15T00:00:00"/>
    <x v="4"/>
    <x v="3"/>
    <x v="0"/>
    <x v="4"/>
    <n v="8"/>
    <n v="478"/>
    <n v="0.1"/>
    <n v="3824"/>
    <n v="691"/>
    <s v="No"/>
    <n v="3823.9"/>
  </r>
  <r>
    <n v="1243"/>
    <d v="2022-02-16T00:00:00"/>
    <x v="2"/>
    <x v="1"/>
    <x v="1"/>
    <x v="2"/>
    <n v="3"/>
    <n v="46"/>
    <n v="0.2"/>
    <n v="138"/>
    <n v="24"/>
    <s v="No"/>
    <n v="137.80000000000001"/>
  </r>
  <r>
    <n v="1831"/>
    <d v="2022-02-17T00:00:00"/>
    <x v="2"/>
    <x v="1"/>
    <x v="1"/>
    <x v="3"/>
    <n v="6"/>
    <n v="214"/>
    <n v="0.1"/>
    <n v="1284"/>
    <n v="290"/>
    <s v="No"/>
    <n v="1283.9000000000001"/>
  </r>
  <r>
    <n v="1504"/>
    <d v="2022-02-18T00:00:00"/>
    <x v="4"/>
    <x v="1"/>
    <x v="1"/>
    <x v="0"/>
    <n v="2"/>
    <n v="356"/>
    <n v="0.1"/>
    <n v="712"/>
    <n v="84"/>
    <s v="No"/>
    <n v="711.9"/>
  </r>
  <r>
    <n v="1130"/>
    <d v="2022-02-19T00:00:00"/>
    <x v="6"/>
    <x v="0"/>
    <x v="2"/>
    <x v="1"/>
    <n v="7"/>
    <n v="401"/>
    <n v="0.1"/>
    <n v="2807"/>
    <n v="647"/>
    <s v="No"/>
    <n v="2806.9"/>
  </r>
  <r>
    <n v="1484"/>
    <d v="2022-02-20T00:00:00"/>
    <x v="4"/>
    <x v="0"/>
    <x v="1"/>
    <x v="2"/>
    <n v="8"/>
    <n v="255"/>
    <n v="0.3"/>
    <n v="2040"/>
    <n v="249"/>
    <s v="No"/>
    <n v="2039.7"/>
  </r>
  <r>
    <n v="1818"/>
    <d v="2022-02-21T00:00:00"/>
    <x v="0"/>
    <x v="1"/>
    <x v="0"/>
    <x v="2"/>
    <n v="6"/>
    <n v="459"/>
    <n v="0"/>
    <n v="2754"/>
    <n v="191"/>
    <s v="No"/>
    <n v="2754"/>
  </r>
  <r>
    <n v="1646"/>
    <d v="2022-02-22T00:00:00"/>
    <x v="2"/>
    <x v="3"/>
    <x v="0"/>
    <x v="3"/>
    <n v="6"/>
    <n v="111"/>
    <n v="0"/>
    <n v="666"/>
    <n v="43"/>
    <s v="No"/>
    <n v="666"/>
  </r>
  <r>
    <n v="1020"/>
    <d v="2022-02-23T00:00:00"/>
    <x v="5"/>
    <x v="0"/>
    <x v="1"/>
    <x v="1"/>
    <n v="5"/>
    <n v="496"/>
    <n v="0.1"/>
    <n v="2480"/>
    <n v="331"/>
    <s v="No"/>
    <n v="2479.9"/>
  </r>
  <r>
    <n v="1840"/>
    <d v="2022-02-24T00:00:00"/>
    <x v="5"/>
    <x v="1"/>
    <x v="1"/>
    <x v="4"/>
    <n v="8"/>
    <n v="40"/>
    <n v="0.3"/>
    <n v="320"/>
    <n v="55"/>
    <s v="No"/>
    <n v="319.7"/>
  </r>
  <r>
    <n v="1166"/>
    <d v="2022-02-25T00:00:00"/>
    <x v="3"/>
    <x v="1"/>
    <x v="0"/>
    <x v="2"/>
    <n v="1"/>
    <n v="322"/>
    <n v="0.2"/>
    <n v="322"/>
    <n v="58"/>
    <s v="No"/>
    <n v="321.8"/>
  </r>
  <r>
    <n v="1273"/>
    <d v="2022-02-26T00:00:00"/>
    <x v="1"/>
    <x v="3"/>
    <x v="2"/>
    <x v="3"/>
    <n v="4"/>
    <n v="483"/>
    <n v="0.3"/>
    <n v="1932"/>
    <n v="334"/>
    <s v="Yes"/>
    <n v="1931.7"/>
  </r>
  <r>
    <n v="1387"/>
    <d v="2022-02-27T00:00:00"/>
    <x v="4"/>
    <x v="2"/>
    <x v="1"/>
    <x v="4"/>
    <n v="4"/>
    <n v="376"/>
    <n v="0"/>
    <n v="1504"/>
    <n v="270"/>
    <s v="No"/>
    <n v="1504"/>
  </r>
  <r>
    <n v="1600"/>
    <d v="2022-02-28T00:00:00"/>
    <x v="4"/>
    <x v="0"/>
    <x v="1"/>
    <x v="1"/>
    <n v="3"/>
    <n v="462"/>
    <n v="0"/>
    <n v="1386"/>
    <n v="222"/>
    <s v="No"/>
    <n v="1386"/>
  </r>
  <r>
    <n v="1315"/>
    <d v="2022-03-01T00:00:00"/>
    <x v="3"/>
    <x v="3"/>
    <x v="0"/>
    <x v="2"/>
    <n v="3"/>
    <n v="103"/>
    <n v="0.3"/>
    <n v="309"/>
    <n v="19"/>
    <s v="No"/>
    <n v="308.7"/>
  </r>
  <r>
    <n v="1013"/>
    <d v="2022-03-02T00:00:00"/>
    <x v="3"/>
    <x v="1"/>
    <x v="1"/>
    <x v="4"/>
    <n v="4"/>
    <n v="281"/>
    <n v="0.3"/>
    <n v="1124"/>
    <n v="104"/>
    <s v="No"/>
    <n v="1123.7"/>
  </r>
  <r>
    <n v="1241"/>
    <d v="2022-03-03T00:00:00"/>
    <x v="3"/>
    <x v="1"/>
    <x v="2"/>
    <x v="4"/>
    <n v="1"/>
    <n v="166"/>
    <n v="0"/>
    <n v="166"/>
    <n v="26"/>
    <s v="No"/>
    <n v="166"/>
  </r>
  <r>
    <n v="1776"/>
    <d v="2022-03-04T00:00:00"/>
    <x v="2"/>
    <x v="3"/>
    <x v="0"/>
    <x v="4"/>
    <n v="2"/>
    <n v="460"/>
    <n v="0.2"/>
    <n v="920"/>
    <n v="53"/>
    <s v="Yes"/>
    <n v="919.8"/>
  </r>
  <r>
    <n v="1345"/>
    <d v="2022-03-05T00:00:00"/>
    <x v="0"/>
    <x v="0"/>
    <x v="1"/>
    <x v="2"/>
    <n v="9"/>
    <n v="472"/>
    <n v="0.1"/>
    <n v="4248"/>
    <n v="447"/>
    <s v="No"/>
    <n v="4247.8999999999996"/>
  </r>
  <r>
    <n v="1564"/>
    <d v="2022-03-06T00:00:00"/>
    <x v="4"/>
    <x v="2"/>
    <x v="0"/>
    <x v="2"/>
    <n v="2"/>
    <n v="406"/>
    <n v="0.1"/>
    <n v="812"/>
    <n v="162"/>
    <s v="No"/>
    <n v="811.9"/>
  </r>
  <r>
    <n v="1897"/>
    <d v="2022-03-07T00:00:00"/>
    <x v="2"/>
    <x v="2"/>
    <x v="1"/>
    <x v="0"/>
    <n v="5"/>
    <n v="276"/>
    <n v="0.3"/>
    <n v="1380"/>
    <n v="226"/>
    <s v="No"/>
    <n v="1379.7"/>
  </r>
  <r>
    <n v="1091"/>
    <d v="2022-03-08T00:00:00"/>
    <x v="4"/>
    <x v="0"/>
    <x v="1"/>
    <x v="3"/>
    <n v="9"/>
    <n v="399"/>
    <n v="0"/>
    <n v="3591"/>
    <n v="1017"/>
    <s v="No"/>
    <n v="3591"/>
  </r>
  <r>
    <n v="1366"/>
    <d v="2022-03-09T00:00:00"/>
    <x v="2"/>
    <x v="2"/>
    <x v="2"/>
    <x v="4"/>
    <n v="8"/>
    <n v="441"/>
    <n v="0"/>
    <n v="3528"/>
    <n v="743"/>
    <s v="No"/>
    <n v="3528"/>
  </r>
  <r>
    <n v="1454"/>
    <d v="2022-03-10T00:00:00"/>
    <x v="2"/>
    <x v="0"/>
    <x v="0"/>
    <x v="3"/>
    <n v="1"/>
    <n v="181"/>
    <n v="0.3"/>
    <n v="181"/>
    <n v="26"/>
    <s v="No"/>
    <n v="180.7"/>
  </r>
  <r>
    <n v="1427"/>
    <d v="2022-03-11T00:00:00"/>
    <x v="0"/>
    <x v="1"/>
    <x v="1"/>
    <x v="0"/>
    <n v="9"/>
    <n v="464"/>
    <n v="0.3"/>
    <n v="4176"/>
    <n v="720"/>
    <s v="No"/>
    <n v="4175.7"/>
  </r>
  <r>
    <n v="1508"/>
    <d v="2022-03-12T00:00:00"/>
    <x v="3"/>
    <x v="2"/>
    <x v="1"/>
    <x v="2"/>
    <n v="8"/>
    <n v="182"/>
    <n v="0.2"/>
    <n v="1456"/>
    <n v="93"/>
    <s v="No"/>
    <n v="1455.8"/>
  </r>
  <r>
    <n v="1775"/>
    <d v="2022-03-13T00:00:00"/>
    <x v="0"/>
    <x v="3"/>
    <x v="2"/>
    <x v="4"/>
    <n v="9"/>
    <n v="339"/>
    <n v="0.1"/>
    <n v="3051"/>
    <n v="465"/>
    <s v="No"/>
    <n v="3050.9"/>
  </r>
  <r>
    <n v="1034"/>
    <d v="2022-03-14T00:00:00"/>
    <x v="3"/>
    <x v="2"/>
    <x v="2"/>
    <x v="3"/>
    <n v="3"/>
    <n v="299"/>
    <n v="0.1"/>
    <n v="897"/>
    <n v="118"/>
    <s v="No"/>
    <n v="896.9"/>
  </r>
  <r>
    <n v="1205"/>
    <d v="2022-03-15T00:00:00"/>
    <x v="4"/>
    <x v="2"/>
    <x v="1"/>
    <x v="3"/>
    <n v="3"/>
    <n v="31"/>
    <n v="0.1"/>
    <n v="93"/>
    <n v="16"/>
    <s v="No"/>
    <n v="92.9"/>
  </r>
  <r>
    <n v="1080"/>
    <d v="2022-03-16T00:00:00"/>
    <x v="5"/>
    <x v="2"/>
    <x v="0"/>
    <x v="3"/>
    <n v="2"/>
    <n v="293"/>
    <n v="0"/>
    <n v="586"/>
    <n v="115"/>
    <s v="No"/>
    <n v="586"/>
  </r>
  <r>
    <n v="1931"/>
    <d v="2022-03-17T00:00:00"/>
    <x v="6"/>
    <x v="2"/>
    <x v="1"/>
    <x v="3"/>
    <n v="5"/>
    <n v="290"/>
    <n v="0.1"/>
    <n v="1450"/>
    <n v="139"/>
    <s v="No"/>
    <n v="1449.9"/>
  </r>
  <r>
    <n v="1561"/>
    <d v="2022-03-18T00:00:00"/>
    <x v="0"/>
    <x v="2"/>
    <x v="1"/>
    <x v="0"/>
    <n v="3"/>
    <n v="227"/>
    <n v="0.3"/>
    <n v="681"/>
    <n v="67"/>
    <s v="No"/>
    <n v="680.7"/>
  </r>
  <r>
    <n v="1001"/>
    <d v="2022-03-19T00:00:00"/>
    <x v="0"/>
    <x v="0"/>
    <x v="1"/>
    <x v="2"/>
    <n v="3"/>
    <n v="79"/>
    <n v="0"/>
    <n v="237"/>
    <n v="13"/>
    <s v="No"/>
    <n v="237"/>
  </r>
  <r>
    <n v="1389"/>
    <d v="2022-03-20T00:00:00"/>
    <x v="3"/>
    <x v="3"/>
    <x v="2"/>
    <x v="2"/>
    <n v="5"/>
    <n v="449"/>
    <n v="0.2"/>
    <n v="2245"/>
    <n v="463"/>
    <s v="No"/>
    <n v="2244.8000000000002"/>
  </r>
  <r>
    <n v="1565"/>
    <d v="2022-03-21T00:00:00"/>
    <x v="5"/>
    <x v="2"/>
    <x v="0"/>
    <x v="2"/>
    <n v="1"/>
    <n v="492"/>
    <n v="0.1"/>
    <n v="492"/>
    <n v="58"/>
    <s v="No"/>
    <n v="491.9"/>
  </r>
  <r>
    <n v="1105"/>
    <d v="2022-03-22T00:00:00"/>
    <x v="4"/>
    <x v="1"/>
    <x v="0"/>
    <x v="0"/>
    <n v="1"/>
    <n v="164"/>
    <n v="0.1"/>
    <n v="164"/>
    <n v="29"/>
    <s v="No"/>
    <n v="163.9"/>
  </r>
  <r>
    <n v="1771"/>
    <d v="2022-03-23T00:00:00"/>
    <x v="2"/>
    <x v="2"/>
    <x v="2"/>
    <x v="1"/>
    <n v="9"/>
    <n v="112"/>
    <n v="0.2"/>
    <n v="1008"/>
    <n v="101"/>
    <s v="No"/>
    <n v="1007.8"/>
  </r>
  <r>
    <n v="1821"/>
    <d v="2022-03-24T00:00:00"/>
    <x v="4"/>
    <x v="1"/>
    <x v="2"/>
    <x v="4"/>
    <n v="7"/>
    <n v="328"/>
    <n v="0.1"/>
    <n v="2296"/>
    <n v="655"/>
    <s v="No"/>
    <n v="2295.9"/>
  </r>
  <r>
    <n v="1476"/>
    <d v="2022-03-25T00:00:00"/>
    <x v="2"/>
    <x v="0"/>
    <x v="2"/>
    <x v="3"/>
    <n v="1"/>
    <n v="27"/>
    <n v="0"/>
    <n v="27"/>
    <n v="3"/>
    <s v="Yes"/>
    <n v="27"/>
  </r>
  <r>
    <n v="1702"/>
    <d v="2022-03-26T00:00:00"/>
    <x v="4"/>
    <x v="1"/>
    <x v="2"/>
    <x v="1"/>
    <n v="8"/>
    <n v="98"/>
    <n v="0"/>
    <n v="784"/>
    <n v="123"/>
    <s v="No"/>
    <n v="784"/>
  </r>
  <r>
    <n v="1401"/>
    <d v="2022-03-27T00:00:00"/>
    <x v="0"/>
    <x v="3"/>
    <x v="2"/>
    <x v="2"/>
    <n v="3"/>
    <n v="46"/>
    <n v="0.2"/>
    <n v="138"/>
    <n v="30"/>
    <s v="No"/>
    <n v="137.80000000000001"/>
  </r>
  <r>
    <n v="1161"/>
    <d v="2022-03-28T00:00:00"/>
    <x v="1"/>
    <x v="1"/>
    <x v="2"/>
    <x v="3"/>
    <n v="1"/>
    <n v="218"/>
    <n v="0.3"/>
    <n v="218"/>
    <n v="38"/>
    <s v="No"/>
    <n v="217.7"/>
  </r>
  <r>
    <n v="1201"/>
    <d v="2022-03-29T00:00:00"/>
    <x v="3"/>
    <x v="1"/>
    <x v="1"/>
    <x v="3"/>
    <n v="7"/>
    <n v="406"/>
    <n v="0.1"/>
    <n v="2842"/>
    <n v="468"/>
    <s v="No"/>
    <n v="2841.9"/>
  </r>
  <r>
    <n v="1995"/>
    <d v="2022-03-30T00:00:00"/>
    <x v="4"/>
    <x v="3"/>
    <x v="1"/>
    <x v="4"/>
    <n v="6"/>
    <n v="467"/>
    <n v="0.2"/>
    <n v="2802"/>
    <n v="187"/>
    <s v="No"/>
    <n v="2801.8"/>
  </r>
  <r>
    <n v="1269"/>
    <d v="2022-03-31T00:00:00"/>
    <x v="2"/>
    <x v="2"/>
    <x v="2"/>
    <x v="2"/>
    <n v="6"/>
    <n v="447"/>
    <n v="0.2"/>
    <n v="2682"/>
    <n v="151"/>
    <s v="No"/>
    <n v="2681.8"/>
  </r>
  <r>
    <n v="1862"/>
    <d v="2022-04-01T00:00:00"/>
    <x v="3"/>
    <x v="1"/>
    <x v="2"/>
    <x v="3"/>
    <n v="8"/>
    <n v="200"/>
    <n v="0.1"/>
    <n v="1600"/>
    <n v="334"/>
    <s v="No"/>
    <n v="1599.9"/>
  </r>
  <r>
    <n v="1815"/>
    <d v="2022-04-02T00:00:00"/>
    <x v="3"/>
    <x v="1"/>
    <x v="0"/>
    <x v="1"/>
    <n v="9"/>
    <n v="43"/>
    <n v="0"/>
    <n v="387"/>
    <n v="67"/>
    <s v="No"/>
    <n v="387"/>
  </r>
  <r>
    <n v="1461"/>
    <d v="2022-04-03T00:00:00"/>
    <x v="0"/>
    <x v="0"/>
    <x v="0"/>
    <x v="4"/>
    <n v="9"/>
    <n v="406"/>
    <n v="0"/>
    <n v="3654"/>
    <n v="882"/>
    <s v="No"/>
    <n v="3654"/>
  </r>
  <r>
    <n v="1726"/>
    <d v="2022-04-04T00:00:00"/>
    <x v="0"/>
    <x v="1"/>
    <x v="0"/>
    <x v="2"/>
    <n v="7"/>
    <n v="423"/>
    <n v="0.2"/>
    <n v="2961"/>
    <n v="213"/>
    <s v="No"/>
    <n v="2960.8"/>
  </r>
  <r>
    <n v="1251"/>
    <d v="2022-04-05T00:00:00"/>
    <x v="0"/>
    <x v="0"/>
    <x v="0"/>
    <x v="0"/>
    <n v="1"/>
    <n v="65"/>
    <n v="0.1"/>
    <n v="65"/>
    <n v="12"/>
    <s v="No"/>
    <n v="64.900000000000006"/>
  </r>
  <r>
    <n v="1701"/>
    <d v="2022-04-06T00:00:00"/>
    <x v="0"/>
    <x v="3"/>
    <x v="0"/>
    <x v="3"/>
    <n v="7"/>
    <n v="34"/>
    <n v="0.3"/>
    <n v="238"/>
    <n v="14"/>
    <s v="No"/>
    <n v="237.7"/>
  </r>
  <r>
    <n v="1295"/>
    <d v="2022-04-07T00:00:00"/>
    <x v="0"/>
    <x v="3"/>
    <x v="1"/>
    <x v="4"/>
    <n v="5"/>
    <n v="172"/>
    <n v="0.3"/>
    <n v="860"/>
    <n v="143"/>
    <s v="No"/>
    <n v="859.7"/>
  </r>
  <r>
    <n v="1724"/>
    <d v="2022-04-08T00:00:00"/>
    <x v="5"/>
    <x v="2"/>
    <x v="1"/>
    <x v="1"/>
    <n v="6"/>
    <n v="241"/>
    <n v="0.1"/>
    <n v="1446"/>
    <n v="310"/>
    <s v="Yes"/>
    <n v="1445.9"/>
  </r>
  <r>
    <n v="1719"/>
    <d v="2022-04-09T00:00:00"/>
    <x v="3"/>
    <x v="1"/>
    <x v="2"/>
    <x v="4"/>
    <n v="7"/>
    <n v="225"/>
    <n v="0.3"/>
    <n v="1575"/>
    <n v="319"/>
    <s v="Yes"/>
    <n v="1574.7"/>
  </r>
  <r>
    <n v="1337"/>
    <d v="2022-04-10T00:00:00"/>
    <x v="3"/>
    <x v="3"/>
    <x v="0"/>
    <x v="4"/>
    <n v="7"/>
    <n v="292"/>
    <n v="0.1"/>
    <n v="2044"/>
    <n v="118"/>
    <s v="No"/>
    <n v="2043.9"/>
  </r>
  <r>
    <n v="1878"/>
    <d v="2022-04-11T00:00:00"/>
    <x v="3"/>
    <x v="3"/>
    <x v="0"/>
    <x v="4"/>
    <n v="9"/>
    <n v="401"/>
    <n v="0.3"/>
    <n v="3609"/>
    <n v="305"/>
    <s v="No"/>
    <n v="3608.7"/>
  </r>
  <r>
    <n v="1791"/>
    <d v="2022-04-12T00:00:00"/>
    <x v="5"/>
    <x v="2"/>
    <x v="2"/>
    <x v="1"/>
    <n v="8"/>
    <n v="359"/>
    <n v="0.1"/>
    <n v="2872"/>
    <n v="321"/>
    <s v="No"/>
    <n v="2871.9"/>
  </r>
  <r>
    <n v="1921"/>
    <d v="2022-04-13T00:00:00"/>
    <x v="0"/>
    <x v="3"/>
    <x v="2"/>
    <x v="1"/>
    <n v="2"/>
    <n v="247"/>
    <n v="0"/>
    <n v="494"/>
    <n v="137"/>
    <s v="No"/>
    <n v="494"/>
  </r>
  <r>
    <n v="1216"/>
    <d v="2022-04-14T00:00:00"/>
    <x v="4"/>
    <x v="1"/>
    <x v="2"/>
    <x v="4"/>
    <n v="7"/>
    <n v="28"/>
    <n v="0.1"/>
    <n v="196"/>
    <n v="22"/>
    <s v="No"/>
    <n v="195.9"/>
  </r>
  <r>
    <n v="1763"/>
    <d v="2022-04-15T00:00:00"/>
    <x v="2"/>
    <x v="3"/>
    <x v="2"/>
    <x v="0"/>
    <n v="2"/>
    <n v="185"/>
    <n v="0.1"/>
    <n v="370"/>
    <n v="44"/>
    <s v="No"/>
    <n v="369.9"/>
  </r>
  <r>
    <n v="1187"/>
    <d v="2022-04-16T00:00:00"/>
    <x v="1"/>
    <x v="1"/>
    <x v="2"/>
    <x v="2"/>
    <n v="4"/>
    <n v="451"/>
    <n v="0.1"/>
    <n v="1804"/>
    <n v="389"/>
    <s v="No"/>
    <n v="1803.9"/>
  </r>
  <r>
    <n v="1379"/>
    <d v="2022-04-17T00:00:00"/>
    <x v="4"/>
    <x v="0"/>
    <x v="2"/>
    <x v="2"/>
    <n v="7"/>
    <n v="463"/>
    <n v="0"/>
    <n v="3241"/>
    <n v="526"/>
    <s v="No"/>
    <n v="3241"/>
  </r>
  <r>
    <n v="1492"/>
    <d v="2022-04-18T00:00:00"/>
    <x v="5"/>
    <x v="1"/>
    <x v="2"/>
    <x v="2"/>
    <n v="3"/>
    <n v="338"/>
    <n v="0.1"/>
    <n v="1014"/>
    <n v="223"/>
    <s v="No"/>
    <n v="1013.9"/>
  </r>
  <r>
    <n v="1040"/>
    <d v="2022-04-19T00:00:00"/>
    <x v="2"/>
    <x v="0"/>
    <x v="0"/>
    <x v="1"/>
    <n v="2"/>
    <n v="233"/>
    <n v="0.2"/>
    <n v="466"/>
    <n v="25"/>
    <s v="No"/>
    <n v="465.8"/>
  </r>
  <r>
    <n v="1156"/>
    <d v="2022-04-20T00:00:00"/>
    <x v="5"/>
    <x v="1"/>
    <x v="0"/>
    <x v="1"/>
    <n v="7"/>
    <n v="136"/>
    <n v="0.1"/>
    <n v="952"/>
    <n v="147"/>
    <s v="No"/>
    <n v="951.9"/>
  </r>
  <r>
    <n v="1812"/>
    <d v="2022-04-21T00:00:00"/>
    <x v="2"/>
    <x v="1"/>
    <x v="0"/>
    <x v="2"/>
    <n v="8"/>
    <n v="363"/>
    <n v="0.1"/>
    <n v="2904"/>
    <n v="172"/>
    <s v="Yes"/>
    <n v="2903.9"/>
  </r>
  <r>
    <n v="1064"/>
    <d v="2022-04-22T00:00:00"/>
    <x v="3"/>
    <x v="2"/>
    <x v="2"/>
    <x v="2"/>
    <n v="3"/>
    <n v="91"/>
    <n v="0"/>
    <n v="273"/>
    <n v="76"/>
    <s v="No"/>
    <n v="273"/>
  </r>
  <r>
    <n v="1838"/>
    <d v="2022-04-23T00:00:00"/>
    <x v="4"/>
    <x v="1"/>
    <x v="2"/>
    <x v="1"/>
    <n v="3"/>
    <n v="83"/>
    <n v="0"/>
    <n v="249"/>
    <n v="46"/>
    <s v="Yes"/>
    <n v="249"/>
  </r>
  <r>
    <n v="1520"/>
    <d v="2022-04-24T00:00:00"/>
    <x v="2"/>
    <x v="2"/>
    <x v="1"/>
    <x v="2"/>
    <n v="5"/>
    <n v="224"/>
    <n v="0.3"/>
    <n v="1120"/>
    <n v="120"/>
    <s v="No"/>
    <n v="1119.7"/>
  </r>
  <r>
    <n v="1128"/>
    <d v="2022-04-25T00:00:00"/>
    <x v="0"/>
    <x v="3"/>
    <x v="2"/>
    <x v="0"/>
    <n v="7"/>
    <n v="91"/>
    <n v="0"/>
    <n v="637"/>
    <n v="175"/>
    <s v="No"/>
    <n v="637"/>
  </r>
  <r>
    <n v="1647"/>
    <d v="2022-04-26T00:00:00"/>
    <x v="5"/>
    <x v="1"/>
    <x v="0"/>
    <x v="2"/>
    <n v="7"/>
    <n v="296"/>
    <n v="0.3"/>
    <n v="2072"/>
    <n v="80"/>
    <s v="No"/>
    <n v="2071.6999999999998"/>
  </r>
  <r>
    <n v="1062"/>
    <d v="2022-04-27T00:00:00"/>
    <x v="5"/>
    <x v="1"/>
    <x v="0"/>
    <x v="0"/>
    <n v="8"/>
    <n v="497"/>
    <n v="0"/>
    <n v="3976"/>
    <n v="1156"/>
    <s v="No"/>
    <n v="3976"/>
  </r>
  <r>
    <n v="1138"/>
    <d v="2022-04-28T00:00:00"/>
    <x v="0"/>
    <x v="0"/>
    <x v="1"/>
    <x v="4"/>
    <n v="1"/>
    <n v="339"/>
    <n v="0.2"/>
    <n v="339"/>
    <n v="52"/>
    <s v="No"/>
    <n v="338.8"/>
  </r>
  <r>
    <n v="1498"/>
    <d v="2022-04-29T00:00:00"/>
    <x v="3"/>
    <x v="0"/>
    <x v="1"/>
    <x v="0"/>
    <n v="4"/>
    <n v="357"/>
    <n v="0.1"/>
    <n v="1428"/>
    <n v="406"/>
    <s v="No"/>
    <n v="1427.9"/>
  </r>
  <r>
    <n v="1592"/>
    <d v="2022-04-30T00:00:00"/>
    <x v="2"/>
    <x v="1"/>
    <x v="1"/>
    <x v="3"/>
    <n v="6"/>
    <n v="385"/>
    <n v="0.1"/>
    <n v="2310"/>
    <n v="146"/>
    <s v="No"/>
    <n v="2309.9"/>
  </r>
  <r>
    <n v="1391"/>
    <d v="2022-05-01T00:00:00"/>
    <x v="4"/>
    <x v="3"/>
    <x v="2"/>
    <x v="3"/>
    <n v="9"/>
    <n v="114"/>
    <n v="0"/>
    <n v="1026"/>
    <n v="159"/>
    <s v="No"/>
    <n v="1026"/>
  </r>
  <r>
    <n v="1674"/>
    <d v="2022-05-02T00:00:00"/>
    <x v="5"/>
    <x v="3"/>
    <x v="1"/>
    <x v="1"/>
    <n v="2"/>
    <n v="185"/>
    <n v="0.1"/>
    <n v="370"/>
    <n v="38"/>
    <s v="Yes"/>
    <n v="369.9"/>
  </r>
  <r>
    <n v="1418"/>
    <d v="2022-05-03T00:00:00"/>
    <x v="5"/>
    <x v="1"/>
    <x v="2"/>
    <x v="2"/>
    <n v="1"/>
    <n v="51"/>
    <n v="0.3"/>
    <n v="51"/>
    <n v="8"/>
    <s v="No"/>
    <n v="50.7"/>
  </r>
  <r>
    <n v="1288"/>
    <d v="2022-05-04T00:00:00"/>
    <x v="4"/>
    <x v="1"/>
    <x v="1"/>
    <x v="1"/>
    <n v="2"/>
    <n v="30"/>
    <n v="0.1"/>
    <n v="60"/>
    <n v="16"/>
    <s v="No"/>
    <n v="59.9"/>
  </r>
  <r>
    <n v="1378"/>
    <d v="2022-05-05T00:00:00"/>
    <x v="0"/>
    <x v="0"/>
    <x v="1"/>
    <x v="1"/>
    <n v="7"/>
    <n v="320"/>
    <n v="0.1"/>
    <n v="2240"/>
    <n v="230"/>
    <s v="No"/>
    <n v="2239.9"/>
  </r>
  <r>
    <n v="1772"/>
    <d v="2022-05-06T00:00:00"/>
    <x v="5"/>
    <x v="3"/>
    <x v="2"/>
    <x v="1"/>
    <n v="3"/>
    <n v="236"/>
    <n v="0"/>
    <n v="708"/>
    <n v="151"/>
    <s v="No"/>
    <n v="708"/>
  </r>
  <r>
    <n v="1489"/>
    <d v="2022-05-07T00:00:00"/>
    <x v="1"/>
    <x v="1"/>
    <x v="2"/>
    <x v="1"/>
    <n v="2"/>
    <n v="308"/>
    <n v="0"/>
    <n v="616"/>
    <n v="61"/>
    <s v="No"/>
    <n v="616"/>
  </r>
  <r>
    <n v="1134"/>
    <d v="2022-05-08T00:00:00"/>
    <x v="2"/>
    <x v="0"/>
    <x v="2"/>
    <x v="3"/>
    <n v="7"/>
    <n v="286"/>
    <n v="0"/>
    <n v="2002"/>
    <n v="405"/>
    <s v="No"/>
    <n v="2002"/>
  </r>
  <r>
    <n v="1200"/>
    <d v="2022-05-09T00:00:00"/>
    <x v="1"/>
    <x v="3"/>
    <x v="0"/>
    <x v="1"/>
    <n v="4"/>
    <n v="233"/>
    <n v="0.1"/>
    <n v="932"/>
    <n v="128"/>
    <s v="No"/>
    <n v="931.9"/>
  </r>
  <r>
    <n v="1839"/>
    <d v="2022-05-10T00:00:00"/>
    <x v="5"/>
    <x v="3"/>
    <x v="0"/>
    <x v="0"/>
    <n v="1"/>
    <n v="198"/>
    <n v="0.1"/>
    <n v="198"/>
    <n v="16"/>
    <s v="No"/>
    <n v="197.9"/>
  </r>
  <r>
    <n v="1779"/>
    <d v="2022-05-11T00:00:00"/>
    <x v="5"/>
    <x v="0"/>
    <x v="0"/>
    <x v="3"/>
    <n v="5"/>
    <n v="107"/>
    <n v="0"/>
    <n v="535"/>
    <n v="47"/>
    <s v="No"/>
    <n v="535"/>
  </r>
  <r>
    <n v="1929"/>
    <d v="2022-05-12T00:00:00"/>
    <x v="1"/>
    <x v="2"/>
    <x v="0"/>
    <x v="2"/>
    <n v="9"/>
    <n v="60"/>
    <n v="0.2"/>
    <n v="540"/>
    <n v="46"/>
    <s v="No"/>
    <n v="539.79999999999995"/>
  </r>
  <r>
    <n v="1032"/>
    <d v="2022-05-13T00:00:00"/>
    <x v="4"/>
    <x v="0"/>
    <x v="0"/>
    <x v="4"/>
    <n v="8"/>
    <n v="420"/>
    <n v="0.3"/>
    <n v="3360"/>
    <n v="265"/>
    <s v="No"/>
    <n v="3359.7"/>
  </r>
  <r>
    <n v="1047"/>
    <d v="2022-05-14T00:00:00"/>
    <x v="3"/>
    <x v="3"/>
    <x v="1"/>
    <x v="3"/>
    <n v="9"/>
    <n v="95"/>
    <n v="0.1"/>
    <n v="855"/>
    <n v="202"/>
    <s v="No"/>
    <n v="854.9"/>
  </r>
  <r>
    <n v="1406"/>
    <d v="2022-05-15T00:00:00"/>
    <x v="4"/>
    <x v="1"/>
    <x v="0"/>
    <x v="3"/>
    <n v="7"/>
    <n v="65"/>
    <n v="0.3"/>
    <n v="455"/>
    <n v="58"/>
    <s v="No"/>
    <n v="454.7"/>
  </r>
  <r>
    <n v="1573"/>
    <d v="2022-05-16T00:00:00"/>
    <x v="6"/>
    <x v="0"/>
    <x v="0"/>
    <x v="4"/>
    <n v="4"/>
    <n v="179"/>
    <n v="0.2"/>
    <n v="716"/>
    <n v="45"/>
    <s v="Yes"/>
    <n v="715.8"/>
  </r>
  <r>
    <n v="1727"/>
    <d v="2022-05-17T00:00:00"/>
    <x v="1"/>
    <x v="3"/>
    <x v="0"/>
    <x v="4"/>
    <n v="5"/>
    <n v="482"/>
    <n v="0.1"/>
    <n v="2410"/>
    <n v="575"/>
    <s v="No"/>
    <n v="2409.9"/>
  </r>
  <r>
    <n v="1804"/>
    <d v="2022-05-18T00:00:00"/>
    <x v="0"/>
    <x v="1"/>
    <x v="2"/>
    <x v="0"/>
    <n v="1"/>
    <n v="99"/>
    <n v="0.1"/>
    <n v="99"/>
    <n v="21"/>
    <s v="No"/>
    <n v="98.9"/>
  </r>
  <r>
    <n v="1098"/>
    <d v="2022-05-19T00:00:00"/>
    <x v="6"/>
    <x v="3"/>
    <x v="1"/>
    <x v="1"/>
    <n v="1"/>
    <n v="329"/>
    <n v="0.1"/>
    <n v="329"/>
    <n v="22"/>
    <s v="Yes"/>
    <n v="328.9"/>
  </r>
  <r>
    <n v="1683"/>
    <d v="2022-05-20T00:00:00"/>
    <x v="3"/>
    <x v="0"/>
    <x v="0"/>
    <x v="3"/>
    <n v="3"/>
    <n v="105"/>
    <n v="0"/>
    <n v="315"/>
    <n v="71"/>
    <s v="No"/>
    <n v="315"/>
  </r>
  <r>
    <n v="1871"/>
    <d v="2022-05-21T00:00:00"/>
    <x v="0"/>
    <x v="1"/>
    <x v="0"/>
    <x v="3"/>
    <n v="8"/>
    <n v="111"/>
    <n v="0.2"/>
    <n v="888"/>
    <n v="132"/>
    <s v="No"/>
    <n v="887.8"/>
  </r>
  <r>
    <n v="1725"/>
    <d v="2022-05-22T00:00:00"/>
    <x v="6"/>
    <x v="3"/>
    <x v="0"/>
    <x v="2"/>
    <n v="2"/>
    <n v="167"/>
    <n v="0.1"/>
    <n v="334"/>
    <n v="24"/>
    <s v="No"/>
    <n v="333.9"/>
  </r>
  <r>
    <n v="1986"/>
    <d v="2022-05-23T00:00:00"/>
    <x v="1"/>
    <x v="1"/>
    <x v="1"/>
    <x v="4"/>
    <n v="4"/>
    <n v="180"/>
    <n v="0.2"/>
    <n v="720"/>
    <n v="95"/>
    <s v="No"/>
    <n v="719.8"/>
  </r>
  <r>
    <n v="1546"/>
    <d v="2022-05-24T00:00:00"/>
    <x v="0"/>
    <x v="0"/>
    <x v="2"/>
    <x v="3"/>
    <n v="2"/>
    <n v="221"/>
    <n v="0"/>
    <n v="442"/>
    <n v="76"/>
    <s v="No"/>
    <n v="442"/>
  </r>
  <r>
    <n v="1960"/>
    <d v="2022-05-25T00:00:00"/>
    <x v="1"/>
    <x v="3"/>
    <x v="1"/>
    <x v="4"/>
    <n v="5"/>
    <n v="443"/>
    <n v="0"/>
    <n v="2215"/>
    <n v="203"/>
    <s v="Yes"/>
    <n v="2215"/>
  </r>
  <r>
    <n v="1738"/>
    <d v="2022-05-26T00:00:00"/>
    <x v="6"/>
    <x v="1"/>
    <x v="2"/>
    <x v="3"/>
    <n v="9"/>
    <n v="435"/>
    <n v="0.1"/>
    <n v="3915"/>
    <n v="1121"/>
    <s v="No"/>
    <n v="3914.9"/>
  </r>
  <r>
    <n v="1942"/>
    <d v="2022-05-27T00:00:00"/>
    <x v="3"/>
    <x v="1"/>
    <x v="0"/>
    <x v="1"/>
    <n v="5"/>
    <n v="372"/>
    <n v="0.3"/>
    <n v="1860"/>
    <n v="283"/>
    <s v="No"/>
    <n v="1859.7"/>
  </r>
  <r>
    <n v="1642"/>
    <d v="2022-05-28T00:00:00"/>
    <x v="6"/>
    <x v="2"/>
    <x v="1"/>
    <x v="4"/>
    <n v="1"/>
    <n v="244"/>
    <n v="0.1"/>
    <n v="244"/>
    <n v="37"/>
    <s v="No"/>
    <n v="243.9"/>
  </r>
  <r>
    <n v="1768"/>
    <d v="2022-05-29T00:00:00"/>
    <x v="6"/>
    <x v="2"/>
    <x v="2"/>
    <x v="0"/>
    <n v="9"/>
    <n v="308"/>
    <n v="0.2"/>
    <n v="2772"/>
    <n v="472"/>
    <s v="No"/>
    <n v="2771.8"/>
  </r>
  <r>
    <n v="1004"/>
    <d v="2022-05-30T00:00:00"/>
    <x v="4"/>
    <x v="0"/>
    <x v="2"/>
    <x v="3"/>
    <n v="8"/>
    <n v="252"/>
    <n v="0.3"/>
    <n v="2016"/>
    <n v="263"/>
    <s v="No"/>
    <n v="2015.7"/>
  </r>
  <r>
    <n v="1217"/>
    <d v="2022-05-31T00:00:00"/>
    <x v="4"/>
    <x v="2"/>
    <x v="1"/>
    <x v="2"/>
    <n v="4"/>
    <n v="480"/>
    <n v="0.1"/>
    <n v="1920"/>
    <n v="126"/>
    <s v="No"/>
    <n v="1919.9"/>
  </r>
  <r>
    <n v="1502"/>
    <d v="2022-06-01T00:00:00"/>
    <x v="4"/>
    <x v="0"/>
    <x v="2"/>
    <x v="1"/>
    <n v="5"/>
    <n v="433"/>
    <n v="0"/>
    <n v="2165"/>
    <n v="386"/>
    <s v="No"/>
    <n v="2165"/>
  </r>
  <r>
    <n v="1766"/>
    <d v="2022-06-02T00:00:00"/>
    <x v="3"/>
    <x v="2"/>
    <x v="1"/>
    <x v="3"/>
    <n v="5"/>
    <n v="436"/>
    <n v="0"/>
    <n v="2180"/>
    <n v="548"/>
    <s v="Yes"/>
    <n v="2180"/>
  </r>
  <r>
    <n v="1397"/>
    <d v="2022-06-03T00:00:00"/>
    <x v="0"/>
    <x v="1"/>
    <x v="2"/>
    <x v="0"/>
    <n v="6"/>
    <n v="96"/>
    <n v="0"/>
    <n v="576"/>
    <n v="95"/>
    <s v="No"/>
    <n v="576"/>
  </r>
  <r>
    <n v="1870"/>
    <d v="2022-06-04T00:00:00"/>
    <x v="1"/>
    <x v="0"/>
    <x v="1"/>
    <x v="2"/>
    <n v="7"/>
    <n v="135"/>
    <n v="0"/>
    <n v="945"/>
    <n v="60"/>
    <s v="No"/>
    <n v="945"/>
  </r>
  <r>
    <n v="1794"/>
    <d v="2022-06-05T00:00:00"/>
    <x v="5"/>
    <x v="0"/>
    <x v="1"/>
    <x v="0"/>
    <n v="8"/>
    <n v="173"/>
    <n v="0.2"/>
    <n v="1384"/>
    <n v="273"/>
    <s v="No"/>
    <n v="1383.8"/>
  </r>
  <r>
    <n v="1392"/>
    <d v="2022-06-06T00:00:00"/>
    <x v="6"/>
    <x v="1"/>
    <x v="1"/>
    <x v="0"/>
    <n v="8"/>
    <n v="425"/>
    <n v="0.3"/>
    <n v="3400"/>
    <n v="239"/>
    <s v="No"/>
    <n v="3399.7"/>
  </r>
  <r>
    <n v="1206"/>
    <d v="2022-06-07T00:00:00"/>
    <x v="1"/>
    <x v="0"/>
    <x v="2"/>
    <x v="2"/>
    <n v="2"/>
    <n v="122"/>
    <n v="0.1"/>
    <n v="244"/>
    <n v="25"/>
    <s v="No"/>
    <n v="243.9"/>
  </r>
  <r>
    <n v="1014"/>
    <d v="2022-06-08T00:00:00"/>
    <x v="6"/>
    <x v="0"/>
    <x v="2"/>
    <x v="0"/>
    <n v="9"/>
    <n v="213"/>
    <n v="0.2"/>
    <n v="1917"/>
    <n v="140"/>
    <s v="No"/>
    <n v="1916.8"/>
  </r>
  <r>
    <n v="1857"/>
    <d v="2022-06-09T00:00:00"/>
    <x v="3"/>
    <x v="2"/>
    <x v="2"/>
    <x v="2"/>
    <n v="7"/>
    <n v="185"/>
    <n v="0.2"/>
    <n v="1295"/>
    <n v="137"/>
    <s v="No"/>
    <n v="1294.8"/>
  </r>
  <r>
    <n v="1553"/>
    <d v="2022-06-10T00:00:00"/>
    <x v="6"/>
    <x v="0"/>
    <x v="1"/>
    <x v="3"/>
    <n v="4"/>
    <n v="378"/>
    <n v="0.1"/>
    <n v="1512"/>
    <n v="325"/>
    <s v="No"/>
    <n v="1511.9"/>
  </r>
  <r>
    <n v="1891"/>
    <d v="2022-06-11T00:00:00"/>
    <x v="4"/>
    <x v="3"/>
    <x v="2"/>
    <x v="2"/>
    <n v="4"/>
    <n v="109"/>
    <n v="0.1"/>
    <n v="436"/>
    <n v="71"/>
    <s v="No"/>
    <n v="435.9"/>
  </r>
  <r>
    <n v="1460"/>
    <d v="2022-06-12T00:00:00"/>
    <x v="5"/>
    <x v="1"/>
    <x v="2"/>
    <x v="2"/>
    <n v="8"/>
    <n v="193"/>
    <n v="0"/>
    <n v="1544"/>
    <n v="156"/>
    <s v="No"/>
    <n v="1544"/>
  </r>
  <r>
    <n v="1690"/>
    <d v="2022-06-13T00:00:00"/>
    <x v="2"/>
    <x v="2"/>
    <x v="1"/>
    <x v="1"/>
    <n v="4"/>
    <n v="141"/>
    <n v="0.2"/>
    <n v="564"/>
    <n v="122"/>
    <s v="No"/>
    <n v="563.79999999999995"/>
  </r>
  <r>
    <n v="1574"/>
    <d v="2022-06-14T00:00:00"/>
    <x v="6"/>
    <x v="2"/>
    <x v="0"/>
    <x v="2"/>
    <n v="6"/>
    <n v="162"/>
    <n v="0.1"/>
    <n v="972"/>
    <n v="262"/>
    <s v="No"/>
    <n v="971.9"/>
  </r>
  <r>
    <n v="1863"/>
    <d v="2022-06-15T00:00:00"/>
    <x v="1"/>
    <x v="3"/>
    <x v="1"/>
    <x v="2"/>
    <n v="5"/>
    <n v="125"/>
    <n v="0.1"/>
    <n v="625"/>
    <n v="151"/>
    <s v="No"/>
    <n v="624.9"/>
  </r>
  <r>
    <n v="1742"/>
    <d v="2022-06-16T00:00:00"/>
    <x v="4"/>
    <x v="1"/>
    <x v="2"/>
    <x v="3"/>
    <n v="3"/>
    <n v="394"/>
    <n v="0.1"/>
    <n v="1182"/>
    <n v="117"/>
    <s v="No"/>
    <n v="1181.9000000000001"/>
  </r>
  <r>
    <n v="1240"/>
    <d v="2022-06-17T00:00:00"/>
    <x v="2"/>
    <x v="1"/>
    <x v="1"/>
    <x v="1"/>
    <n v="2"/>
    <n v="447"/>
    <n v="0.3"/>
    <n v="894"/>
    <n v="102"/>
    <s v="No"/>
    <n v="893.7"/>
  </r>
  <r>
    <n v="1095"/>
    <d v="2022-06-18T00:00:00"/>
    <x v="2"/>
    <x v="0"/>
    <x v="1"/>
    <x v="3"/>
    <n v="9"/>
    <n v="379"/>
    <n v="0.1"/>
    <n v="3411"/>
    <n v="829"/>
    <s v="No"/>
    <n v="3410.9"/>
  </r>
  <r>
    <n v="1899"/>
    <d v="2022-06-19T00:00:00"/>
    <x v="4"/>
    <x v="2"/>
    <x v="2"/>
    <x v="3"/>
    <n v="1"/>
    <n v="478"/>
    <n v="0.1"/>
    <n v="478"/>
    <n v="24"/>
    <s v="Yes"/>
    <n v="477.9"/>
  </r>
  <r>
    <n v="1733"/>
    <d v="2022-06-20T00:00:00"/>
    <x v="0"/>
    <x v="1"/>
    <x v="0"/>
    <x v="4"/>
    <n v="3"/>
    <n v="336"/>
    <n v="0"/>
    <n v="1008"/>
    <n v="67"/>
    <s v="No"/>
    <n v="1008"/>
  </r>
  <r>
    <n v="1230"/>
    <d v="2022-06-21T00:00:00"/>
    <x v="3"/>
    <x v="1"/>
    <x v="0"/>
    <x v="1"/>
    <n v="5"/>
    <n v="409"/>
    <n v="0.1"/>
    <n v="2045"/>
    <n v="340"/>
    <s v="No"/>
    <n v="2044.9"/>
  </r>
  <r>
    <n v="1748"/>
    <d v="2022-06-22T00:00:00"/>
    <x v="1"/>
    <x v="2"/>
    <x v="1"/>
    <x v="0"/>
    <n v="5"/>
    <n v="28"/>
    <n v="0.1"/>
    <n v="140"/>
    <n v="24"/>
    <s v="No"/>
    <n v="139.9"/>
  </r>
  <r>
    <n v="1654"/>
    <d v="2022-06-23T00:00:00"/>
    <x v="1"/>
    <x v="0"/>
    <x v="1"/>
    <x v="4"/>
    <n v="6"/>
    <n v="281"/>
    <n v="0.3"/>
    <n v="1686"/>
    <n v="90"/>
    <s v="No"/>
    <n v="1685.7"/>
  </r>
  <r>
    <n v="1170"/>
    <d v="2022-06-24T00:00:00"/>
    <x v="2"/>
    <x v="2"/>
    <x v="2"/>
    <x v="3"/>
    <n v="7"/>
    <n v="92"/>
    <n v="0.3"/>
    <n v="644"/>
    <n v="97"/>
    <s v="No"/>
    <n v="643.70000000000005"/>
  </r>
  <r>
    <n v="1540"/>
    <d v="2022-06-25T00:00:00"/>
    <x v="6"/>
    <x v="2"/>
    <x v="1"/>
    <x v="3"/>
    <n v="1"/>
    <n v="378"/>
    <n v="0.2"/>
    <n v="378"/>
    <n v="77"/>
    <s v="Yes"/>
    <n v="377.8"/>
  </r>
  <r>
    <n v="1035"/>
    <d v="2022-06-26T00:00:00"/>
    <x v="6"/>
    <x v="1"/>
    <x v="1"/>
    <x v="1"/>
    <n v="9"/>
    <n v="242"/>
    <n v="0.1"/>
    <n v="2178"/>
    <n v="284"/>
    <s v="No"/>
    <n v="2177.9"/>
  </r>
  <r>
    <n v="1524"/>
    <d v="2022-06-27T00:00:00"/>
    <x v="1"/>
    <x v="1"/>
    <x v="0"/>
    <x v="3"/>
    <n v="3"/>
    <n v="435"/>
    <n v="0.3"/>
    <n v="1305"/>
    <n v="223"/>
    <s v="No"/>
    <n v="1304.7"/>
  </r>
  <r>
    <n v="1159"/>
    <d v="2022-06-28T00:00:00"/>
    <x v="1"/>
    <x v="1"/>
    <x v="1"/>
    <x v="3"/>
    <n v="4"/>
    <n v="60"/>
    <n v="0.2"/>
    <n v="240"/>
    <n v="56"/>
    <s v="No"/>
    <n v="239.8"/>
  </r>
  <r>
    <n v="1242"/>
    <d v="2022-06-29T00:00:00"/>
    <x v="4"/>
    <x v="3"/>
    <x v="0"/>
    <x v="4"/>
    <n v="2"/>
    <n v="283"/>
    <n v="0.1"/>
    <n v="566"/>
    <n v="69"/>
    <s v="Yes"/>
    <n v="565.9"/>
  </r>
  <r>
    <n v="1085"/>
    <d v="2022-06-30T00:00:00"/>
    <x v="6"/>
    <x v="3"/>
    <x v="2"/>
    <x v="3"/>
    <n v="2"/>
    <n v="347"/>
    <n v="0.2"/>
    <n v="694"/>
    <n v="138"/>
    <s v="Yes"/>
    <n v="693.8"/>
  </r>
  <r>
    <n v="1795"/>
    <d v="2022-07-01T00:00:00"/>
    <x v="1"/>
    <x v="1"/>
    <x v="2"/>
    <x v="3"/>
    <n v="1"/>
    <n v="197"/>
    <n v="0.1"/>
    <n v="197"/>
    <n v="38"/>
    <s v="No"/>
    <n v="196.9"/>
  </r>
  <r>
    <n v="1577"/>
    <d v="2022-07-02T00:00:00"/>
    <x v="0"/>
    <x v="1"/>
    <x v="2"/>
    <x v="4"/>
    <n v="8"/>
    <n v="367"/>
    <n v="0.3"/>
    <n v="2936"/>
    <n v="429"/>
    <s v="Yes"/>
    <n v="2935.7"/>
  </r>
  <r>
    <n v="1681"/>
    <d v="2022-07-03T00:00:00"/>
    <x v="5"/>
    <x v="2"/>
    <x v="0"/>
    <x v="2"/>
    <n v="3"/>
    <n v="337"/>
    <n v="0"/>
    <n v="1011"/>
    <n v="252"/>
    <s v="Yes"/>
    <n v="1011"/>
  </r>
  <r>
    <n v="1556"/>
    <d v="2022-07-04T00:00:00"/>
    <x v="0"/>
    <x v="3"/>
    <x v="2"/>
    <x v="2"/>
    <n v="3"/>
    <n v="103"/>
    <n v="0.3"/>
    <n v="309"/>
    <n v="32"/>
    <s v="Yes"/>
    <n v="308.7"/>
  </r>
  <r>
    <n v="1952"/>
    <d v="2022-07-05T00:00:00"/>
    <x v="6"/>
    <x v="0"/>
    <x v="1"/>
    <x v="4"/>
    <n v="8"/>
    <n v="130"/>
    <n v="0.2"/>
    <n v="1040"/>
    <n v="152"/>
    <s v="No"/>
    <n v="1039.8"/>
  </r>
  <r>
    <n v="1645"/>
    <d v="2022-07-06T00:00:00"/>
    <x v="0"/>
    <x v="0"/>
    <x v="2"/>
    <x v="3"/>
    <n v="9"/>
    <n v="270"/>
    <n v="0.3"/>
    <n v="2430"/>
    <n v="152"/>
    <s v="No"/>
    <n v="2429.6999999999998"/>
  </r>
  <r>
    <n v="1027"/>
    <d v="2022-07-07T00:00:00"/>
    <x v="2"/>
    <x v="1"/>
    <x v="0"/>
    <x v="4"/>
    <n v="4"/>
    <n v="26"/>
    <n v="0.1"/>
    <n v="104"/>
    <n v="26"/>
    <s v="No"/>
    <n v="103.9"/>
  </r>
  <r>
    <n v="1619"/>
    <d v="2022-07-08T00:00:00"/>
    <x v="6"/>
    <x v="3"/>
    <x v="0"/>
    <x v="2"/>
    <n v="5"/>
    <n v="478"/>
    <n v="0.2"/>
    <n v="2390"/>
    <n v="247"/>
    <s v="No"/>
    <n v="2389.8000000000002"/>
  </r>
  <r>
    <n v="1555"/>
    <d v="2022-07-09T00:00:00"/>
    <x v="0"/>
    <x v="3"/>
    <x v="0"/>
    <x v="0"/>
    <n v="2"/>
    <n v="103"/>
    <n v="0.1"/>
    <n v="206"/>
    <n v="49"/>
    <s v="No"/>
    <n v="205.9"/>
  </r>
  <r>
    <n v="1339"/>
    <d v="2022-07-10T00:00:00"/>
    <x v="1"/>
    <x v="2"/>
    <x v="0"/>
    <x v="3"/>
    <n v="9"/>
    <n v="227"/>
    <n v="0.1"/>
    <n v="2043"/>
    <n v="565"/>
    <s v="No"/>
    <n v="2042.9"/>
  </r>
  <r>
    <n v="1797"/>
    <d v="2022-07-11T00:00:00"/>
    <x v="0"/>
    <x v="3"/>
    <x v="0"/>
    <x v="2"/>
    <n v="8"/>
    <n v="407"/>
    <n v="0.3"/>
    <n v="3256"/>
    <n v="272"/>
    <s v="No"/>
    <n v="3255.7"/>
  </r>
  <r>
    <n v="1330"/>
    <d v="2022-07-12T00:00:00"/>
    <x v="2"/>
    <x v="0"/>
    <x v="2"/>
    <x v="0"/>
    <n v="9"/>
    <n v="333"/>
    <n v="0.3"/>
    <n v="2997"/>
    <n v="179"/>
    <s v="No"/>
    <n v="2996.7"/>
  </r>
  <r>
    <n v="1639"/>
    <d v="2022-07-13T00:00:00"/>
    <x v="5"/>
    <x v="1"/>
    <x v="0"/>
    <x v="1"/>
    <n v="3"/>
    <n v="41"/>
    <n v="0.2"/>
    <n v="123"/>
    <n v="10"/>
    <s v="No"/>
    <n v="122.8"/>
  </r>
  <r>
    <n v="1505"/>
    <d v="2022-07-14T00:00:00"/>
    <x v="4"/>
    <x v="3"/>
    <x v="0"/>
    <x v="3"/>
    <n v="9"/>
    <n v="429"/>
    <n v="0.1"/>
    <n v="3861"/>
    <n v="371"/>
    <s v="No"/>
    <n v="3860.9"/>
  </r>
  <r>
    <n v="1347"/>
    <d v="2022-07-15T00:00:00"/>
    <x v="5"/>
    <x v="2"/>
    <x v="1"/>
    <x v="0"/>
    <n v="2"/>
    <n v="402"/>
    <n v="0.3"/>
    <n v="804"/>
    <n v="154"/>
    <s v="Yes"/>
    <n v="803.7"/>
  </r>
  <r>
    <n v="1472"/>
    <d v="2022-07-16T00:00:00"/>
    <x v="2"/>
    <x v="0"/>
    <x v="2"/>
    <x v="2"/>
    <n v="9"/>
    <n v="22"/>
    <n v="0.2"/>
    <n v="198"/>
    <n v="34"/>
    <s v="Yes"/>
    <n v="197.8"/>
  </r>
  <r>
    <n v="1384"/>
    <d v="2022-07-17T00:00:00"/>
    <x v="1"/>
    <x v="0"/>
    <x v="0"/>
    <x v="2"/>
    <n v="2"/>
    <n v="381"/>
    <n v="0.1"/>
    <n v="762"/>
    <n v="49"/>
    <s v="No"/>
    <n v="761.9"/>
  </r>
  <r>
    <n v="1376"/>
    <d v="2022-07-18T00:00:00"/>
    <x v="2"/>
    <x v="0"/>
    <x v="0"/>
    <x v="0"/>
    <n v="8"/>
    <n v="33"/>
    <n v="0"/>
    <n v="264"/>
    <n v="71"/>
    <s v="No"/>
    <n v="264"/>
  </r>
  <r>
    <n v="1282"/>
    <d v="2022-07-19T00:00:00"/>
    <x v="0"/>
    <x v="2"/>
    <x v="1"/>
    <x v="0"/>
    <n v="6"/>
    <n v="478"/>
    <n v="0.1"/>
    <n v="2868"/>
    <n v="720"/>
    <s v="No"/>
    <n v="2867.9"/>
  </r>
  <r>
    <n v="1957"/>
    <d v="2022-07-20T00:00:00"/>
    <x v="5"/>
    <x v="0"/>
    <x v="0"/>
    <x v="2"/>
    <n v="8"/>
    <n v="485"/>
    <n v="0.3"/>
    <n v="3880"/>
    <n v="479"/>
    <s v="No"/>
    <n v="3879.7"/>
  </r>
  <r>
    <n v="1632"/>
    <d v="2022-07-21T00:00:00"/>
    <x v="2"/>
    <x v="1"/>
    <x v="1"/>
    <x v="0"/>
    <n v="5"/>
    <n v="31"/>
    <n v="0.1"/>
    <n v="155"/>
    <n v="41"/>
    <s v="No"/>
    <n v="154.9"/>
  </r>
  <r>
    <n v="1627"/>
    <d v="2022-07-22T00:00:00"/>
    <x v="0"/>
    <x v="1"/>
    <x v="2"/>
    <x v="1"/>
    <n v="2"/>
    <n v="106"/>
    <n v="0"/>
    <n v="212"/>
    <n v="33"/>
    <s v="No"/>
    <n v="212"/>
  </r>
  <r>
    <n v="1972"/>
    <d v="2022-07-23T00:00:00"/>
    <x v="1"/>
    <x v="2"/>
    <x v="0"/>
    <x v="3"/>
    <n v="6"/>
    <n v="31"/>
    <n v="0.2"/>
    <n v="186"/>
    <n v="44"/>
    <s v="No"/>
    <n v="185.8"/>
  </r>
  <r>
    <n v="1744"/>
    <d v="2022-07-24T00:00:00"/>
    <x v="3"/>
    <x v="3"/>
    <x v="1"/>
    <x v="1"/>
    <n v="5"/>
    <n v="416"/>
    <n v="0.3"/>
    <n v="2080"/>
    <n v="316"/>
    <s v="No"/>
    <n v="2079.6999999999998"/>
  </r>
  <r>
    <n v="1258"/>
    <d v="2022-07-25T00:00:00"/>
    <x v="1"/>
    <x v="2"/>
    <x v="1"/>
    <x v="0"/>
    <n v="5"/>
    <n v="44"/>
    <n v="0.1"/>
    <n v="220"/>
    <n v="41"/>
    <s v="Yes"/>
    <n v="219.9"/>
  </r>
  <r>
    <n v="1358"/>
    <d v="2022-07-26T00:00:00"/>
    <x v="2"/>
    <x v="2"/>
    <x v="0"/>
    <x v="4"/>
    <n v="1"/>
    <n v="320"/>
    <n v="0.1"/>
    <n v="320"/>
    <n v="29"/>
    <s v="No"/>
    <n v="319.89999999999998"/>
  </r>
  <r>
    <n v="1709"/>
    <d v="2022-07-27T00:00:00"/>
    <x v="5"/>
    <x v="3"/>
    <x v="2"/>
    <x v="3"/>
    <n v="2"/>
    <n v="262"/>
    <n v="0"/>
    <n v="524"/>
    <n v="142"/>
    <s v="No"/>
    <n v="524"/>
  </r>
  <r>
    <n v="1455"/>
    <d v="2022-07-28T00:00:00"/>
    <x v="6"/>
    <x v="3"/>
    <x v="2"/>
    <x v="3"/>
    <n v="8"/>
    <n v="141"/>
    <n v="0.1"/>
    <n v="1128"/>
    <n v="159"/>
    <s v="No"/>
    <n v="1127.9000000000001"/>
  </r>
  <r>
    <n v="1410"/>
    <d v="2022-07-29T00:00:00"/>
    <x v="2"/>
    <x v="3"/>
    <x v="2"/>
    <x v="2"/>
    <n v="3"/>
    <n v="166"/>
    <n v="0.1"/>
    <n v="498"/>
    <n v="45"/>
    <s v="No"/>
    <n v="497.9"/>
  </r>
  <r>
    <n v="1648"/>
    <d v="2022-07-30T00:00:00"/>
    <x v="6"/>
    <x v="1"/>
    <x v="1"/>
    <x v="2"/>
    <n v="3"/>
    <n v="74"/>
    <n v="0.1"/>
    <n v="222"/>
    <n v="11"/>
    <s v="No"/>
    <n v="221.9"/>
  </r>
  <r>
    <n v="1317"/>
    <d v="2022-07-31T00:00:00"/>
    <x v="0"/>
    <x v="0"/>
    <x v="1"/>
    <x v="4"/>
    <n v="8"/>
    <n v="257"/>
    <n v="0.3"/>
    <n v="2056"/>
    <n v="273"/>
    <s v="No"/>
    <n v="2055.6999999999998"/>
  </r>
  <r>
    <n v="1676"/>
    <d v="2022-08-01T00:00:00"/>
    <x v="3"/>
    <x v="1"/>
    <x v="1"/>
    <x v="3"/>
    <n v="8"/>
    <n v="375"/>
    <n v="0.3"/>
    <n v="3000"/>
    <n v="382"/>
    <s v="No"/>
    <n v="2999.7"/>
  </r>
  <r>
    <n v="1224"/>
    <d v="2022-08-02T00:00:00"/>
    <x v="4"/>
    <x v="0"/>
    <x v="1"/>
    <x v="4"/>
    <n v="2"/>
    <n v="192"/>
    <n v="0.3"/>
    <n v="384"/>
    <n v="62"/>
    <s v="No"/>
    <n v="383.7"/>
  </r>
  <r>
    <n v="1233"/>
    <d v="2022-08-03T00:00:00"/>
    <x v="3"/>
    <x v="0"/>
    <x v="0"/>
    <x v="2"/>
    <n v="1"/>
    <n v="240"/>
    <n v="0.3"/>
    <n v="240"/>
    <n v="12"/>
    <s v="No"/>
    <n v="239.7"/>
  </r>
  <r>
    <n v="1974"/>
    <d v="2022-08-04T00:00:00"/>
    <x v="1"/>
    <x v="2"/>
    <x v="2"/>
    <x v="0"/>
    <n v="3"/>
    <n v="202"/>
    <n v="0.2"/>
    <n v="606"/>
    <n v="128"/>
    <s v="No"/>
    <n v="605.79999999999995"/>
  </r>
  <r>
    <n v="1826"/>
    <d v="2022-08-05T00:00:00"/>
    <x v="6"/>
    <x v="1"/>
    <x v="0"/>
    <x v="2"/>
    <n v="8"/>
    <n v="307"/>
    <n v="0.1"/>
    <n v="2456"/>
    <n v="626"/>
    <s v="No"/>
    <n v="2455.9"/>
  </r>
  <r>
    <n v="1373"/>
    <d v="2022-08-06T00:00:00"/>
    <x v="5"/>
    <x v="0"/>
    <x v="0"/>
    <x v="2"/>
    <n v="1"/>
    <n v="326"/>
    <n v="0.1"/>
    <n v="326"/>
    <n v="60"/>
    <s v="No"/>
    <n v="325.89999999999998"/>
  </r>
  <r>
    <n v="1671"/>
    <d v="2022-08-07T00:00:00"/>
    <x v="6"/>
    <x v="3"/>
    <x v="2"/>
    <x v="1"/>
    <n v="9"/>
    <n v="319"/>
    <n v="0.3"/>
    <n v="2871"/>
    <n v="457"/>
    <s v="No"/>
    <n v="2870.7"/>
  </r>
  <r>
    <n v="1607"/>
    <d v="2022-08-08T00:00:00"/>
    <x v="5"/>
    <x v="1"/>
    <x v="2"/>
    <x v="1"/>
    <n v="9"/>
    <n v="101"/>
    <n v="0"/>
    <n v="909"/>
    <n v="117"/>
    <s v="No"/>
    <n v="909"/>
  </r>
  <r>
    <n v="1471"/>
    <d v="2022-08-09T00:00:00"/>
    <x v="0"/>
    <x v="1"/>
    <x v="0"/>
    <x v="4"/>
    <n v="5"/>
    <n v="473"/>
    <n v="0.1"/>
    <n v="2365"/>
    <n v="357"/>
    <s v="No"/>
    <n v="2364.9"/>
  </r>
  <r>
    <n v="1232"/>
    <d v="2022-08-10T00:00:00"/>
    <x v="1"/>
    <x v="3"/>
    <x v="1"/>
    <x v="4"/>
    <n v="4"/>
    <n v="421"/>
    <n v="0"/>
    <n v="1684"/>
    <n v="430"/>
    <s v="No"/>
    <n v="1684"/>
  </r>
  <r>
    <n v="1691"/>
    <d v="2022-08-11T00:00:00"/>
    <x v="1"/>
    <x v="1"/>
    <x v="0"/>
    <x v="0"/>
    <n v="6"/>
    <n v="230"/>
    <n v="0.1"/>
    <n v="1380"/>
    <n v="205"/>
    <s v="No"/>
    <n v="1379.9"/>
  </r>
  <r>
    <n v="1112"/>
    <d v="2022-08-12T00:00:00"/>
    <x v="4"/>
    <x v="2"/>
    <x v="2"/>
    <x v="0"/>
    <n v="7"/>
    <n v="169"/>
    <n v="0.1"/>
    <n v="1183"/>
    <n v="148"/>
    <s v="No"/>
    <n v="1182.9000000000001"/>
  </r>
  <r>
    <n v="1829"/>
    <d v="2022-08-13T00:00:00"/>
    <x v="2"/>
    <x v="1"/>
    <x v="1"/>
    <x v="3"/>
    <n v="5"/>
    <n v="56"/>
    <n v="0"/>
    <n v="280"/>
    <n v="49"/>
    <s v="No"/>
    <n v="280"/>
  </r>
  <r>
    <n v="1496"/>
    <d v="2022-08-14T00:00:00"/>
    <x v="5"/>
    <x v="2"/>
    <x v="1"/>
    <x v="4"/>
    <n v="9"/>
    <n v="371"/>
    <n v="0.1"/>
    <n v="3339"/>
    <n v="858"/>
    <s v="No"/>
    <n v="3338.9"/>
  </r>
  <r>
    <n v="1441"/>
    <d v="2022-08-15T00:00:00"/>
    <x v="4"/>
    <x v="2"/>
    <x v="2"/>
    <x v="2"/>
    <n v="3"/>
    <n v="331"/>
    <n v="0.1"/>
    <n v="993"/>
    <n v="120"/>
    <s v="No"/>
    <n v="992.9"/>
  </r>
  <r>
    <n v="1563"/>
    <d v="2022-08-16T00:00:00"/>
    <x v="6"/>
    <x v="3"/>
    <x v="2"/>
    <x v="4"/>
    <n v="7"/>
    <n v="380"/>
    <n v="0"/>
    <n v="2660"/>
    <n v="249"/>
    <s v="No"/>
    <n v="2660"/>
  </r>
  <r>
    <n v="1267"/>
    <d v="2022-08-17T00:00:00"/>
    <x v="6"/>
    <x v="1"/>
    <x v="2"/>
    <x v="2"/>
    <n v="5"/>
    <n v="78"/>
    <n v="0.1"/>
    <n v="390"/>
    <n v="80"/>
    <s v="No"/>
    <n v="389.9"/>
  </r>
  <r>
    <n v="1509"/>
    <d v="2022-08-18T00:00:00"/>
    <x v="4"/>
    <x v="3"/>
    <x v="0"/>
    <x v="1"/>
    <n v="7"/>
    <n v="150"/>
    <n v="0.2"/>
    <n v="1050"/>
    <n v="215"/>
    <s v="No"/>
    <n v="1049.8"/>
  </r>
  <r>
    <n v="1806"/>
    <d v="2022-08-19T00:00:00"/>
    <x v="1"/>
    <x v="1"/>
    <x v="0"/>
    <x v="4"/>
    <n v="2"/>
    <n v="431"/>
    <n v="0.1"/>
    <n v="862"/>
    <n v="65"/>
    <s v="No"/>
    <n v="861.9"/>
  </r>
  <r>
    <n v="1385"/>
    <d v="2022-08-20T00:00:00"/>
    <x v="6"/>
    <x v="1"/>
    <x v="1"/>
    <x v="1"/>
    <n v="4"/>
    <n v="221"/>
    <n v="0.3"/>
    <n v="884"/>
    <n v="68"/>
    <s v="No"/>
    <n v="883.7"/>
  </r>
  <r>
    <n v="1386"/>
    <d v="2022-08-21T00:00:00"/>
    <x v="0"/>
    <x v="0"/>
    <x v="2"/>
    <x v="0"/>
    <n v="2"/>
    <n v="262"/>
    <n v="0.1"/>
    <n v="524"/>
    <n v="40"/>
    <s v="No"/>
    <n v="523.9"/>
  </r>
  <r>
    <n v="1612"/>
    <d v="2022-08-22T00:00:00"/>
    <x v="4"/>
    <x v="3"/>
    <x v="1"/>
    <x v="3"/>
    <n v="2"/>
    <n v="464"/>
    <n v="0.3"/>
    <n v="928"/>
    <n v="106"/>
    <s v="No"/>
    <n v="927.7"/>
  </r>
  <r>
    <n v="1624"/>
    <d v="2022-08-23T00:00:00"/>
    <x v="5"/>
    <x v="2"/>
    <x v="1"/>
    <x v="4"/>
    <n v="1"/>
    <n v="112"/>
    <n v="0.3"/>
    <n v="112"/>
    <n v="19"/>
    <s v="No"/>
    <n v="111.7"/>
  </r>
  <r>
    <n v="1951"/>
    <d v="2022-08-24T00:00:00"/>
    <x v="5"/>
    <x v="1"/>
    <x v="1"/>
    <x v="1"/>
    <n v="9"/>
    <n v="457"/>
    <n v="0.1"/>
    <n v="4113"/>
    <n v="788"/>
    <s v="No"/>
    <n v="4112.8999999999996"/>
  </r>
  <r>
    <n v="1698"/>
    <d v="2022-08-25T00:00:00"/>
    <x v="5"/>
    <x v="3"/>
    <x v="1"/>
    <x v="0"/>
    <n v="8"/>
    <n v="226"/>
    <n v="0.1"/>
    <n v="1808"/>
    <n v="225"/>
    <s v="No"/>
    <n v="1807.9"/>
  </r>
  <r>
    <n v="1641"/>
    <d v="2022-08-26T00:00:00"/>
    <x v="5"/>
    <x v="0"/>
    <x v="0"/>
    <x v="1"/>
    <n v="3"/>
    <n v="351"/>
    <n v="0.1"/>
    <n v="1053"/>
    <n v="279"/>
    <s v="No"/>
    <n v="1052.9000000000001"/>
  </r>
  <r>
    <n v="1219"/>
    <d v="2022-08-27T00:00:00"/>
    <x v="0"/>
    <x v="0"/>
    <x v="2"/>
    <x v="1"/>
    <n v="6"/>
    <n v="324"/>
    <n v="0"/>
    <n v="1944"/>
    <n v="405"/>
    <s v="Yes"/>
    <n v="1944"/>
  </r>
  <r>
    <n v="1854"/>
    <d v="2022-08-28T00:00:00"/>
    <x v="1"/>
    <x v="1"/>
    <x v="2"/>
    <x v="4"/>
    <n v="7"/>
    <n v="232"/>
    <n v="0.1"/>
    <n v="1624"/>
    <n v="356"/>
    <s v="No"/>
    <n v="1623.9"/>
  </r>
  <r>
    <n v="1996"/>
    <d v="2022-08-29T00:00:00"/>
    <x v="3"/>
    <x v="2"/>
    <x v="2"/>
    <x v="3"/>
    <n v="9"/>
    <n v="178"/>
    <n v="0"/>
    <n v="1602"/>
    <n v="210"/>
    <s v="No"/>
    <n v="1602"/>
  </r>
  <r>
    <n v="1735"/>
    <d v="2022-08-30T00:00:00"/>
    <x v="2"/>
    <x v="0"/>
    <x v="2"/>
    <x v="0"/>
    <n v="2"/>
    <n v="461"/>
    <n v="0.2"/>
    <n v="922"/>
    <n v="163"/>
    <s v="No"/>
    <n v="921.8"/>
  </r>
  <r>
    <n v="1402"/>
    <d v="2022-08-31T00:00:00"/>
    <x v="5"/>
    <x v="2"/>
    <x v="1"/>
    <x v="2"/>
    <n v="4"/>
    <n v="423"/>
    <n v="0"/>
    <n v="1692"/>
    <n v="447"/>
    <s v="No"/>
    <n v="1692"/>
  </r>
  <r>
    <n v="1637"/>
    <d v="2022-09-01T00:00:00"/>
    <x v="0"/>
    <x v="0"/>
    <x v="0"/>
    <x v="1"/>
    <n v="4"/>
    <n v="312"/>
    <n v="0.1"/>
    <n v="1248"/>
    <n v="133"/>
    <s v="No"/>
    <n v="1247.9000000000001"/>
  </r>
  <r>
    <n v="1129"/>
    <d v="2022-09-02T00:00:00"/>
    <x v="4"/>
    <x v="0"/>
    <x v="0"/>
    <x v="0"/>
    <n v="4"/>
    <n v="23"/>
    <n v="0"/>
    <n v="92"/>
    <n v="24"/>
    <s v="No"/>
    <n v="92"/>
  </r>
  <r>
    <n v="1052"/>
    <d v="2022-09-03T00:00:00"/>
    <x v="5"/>
    <x v="1"/>
    <x v="0"/>
    <x v="1"/>
    <n v="2"/>
    <n v="239"/>
    <n v="0.1"/>
    <n v="478"/>
    <n v="57"/>
    <s v="No"/>
    <n v="477.9"/>
  </r>
  <r>
    <n v="1729"/>
    <d v="2022-09-04T00:00:00"/>
    <x v="2"/>
    <x v="2"/>
    <x v="1"/>
    <x v="0"/>
    <n v="1"/>
    <n v="401"/>
    <n v="0.3"/>
    <n v="401"/>
    <n v="63"/>
    <s v="No"/>
    <n v="4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014A89-CE8D-684B-9ADB-BAE151FD7328}" name="PivotTable13"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3:I9" firstHeaderRow="1" firstDataRow="1" firstDataCol="1"/>
  <pivotFields count="13">
    <pivotField showAll="0"/>
    <pivotField numFmtId="14" showAll="0"/>
    <pivotField showAll="0"/>
    <pivotField showAll="0">
      <items count="5">
        <item x="0"/>
        <item x="1"/>
        <item x="3"/>
        <item x="2"/>
        <item t="default"/>
      </items>
    </pivotField>
    <pivotField showAll="0">
      <items count="4">
        <item x="1"/>
        <item x="2"/>
        <item x="0"/>
        <item t="default"/>
      </items>
    </pivotField>
    <pivotField axis="axisRow" showAll="0">
      <items count="6">
        <item x="4"/>
        <item x="2"/>
        <item x="3"/>
        <item x="1"/>
        <item x="0"/>
        <item t="default"/>
      </items>
    </pivotField>
    <pivotField showAll="0"/>
    <pivotField showAll="0"/>
    <pivotField showAll="0"/>
    <pivotField dataField="1" showAll="0"/>
    <pivotField showAll="0"/>
    <pivotField showAll="0"/>
    <pivotField showAll="0"/>
  </pivotFields>
  <rowFields count="1">
    <field x="5"/>
  </rowFields>
  <rowItems count="6">
    <i>
      <x/>
    </i>
    <i>
      <x v="1"/>
    </i>
    <i>
      <x v="2"/>
    </i>
    <i>
      <x v="3"/>
    </i>
    <i>
      <x v="4"/>
    </i>
    <i t="grand">
      <x/>
    </i>
  </rowItems>
  <colItems count="1">
    <i/>
  </colItems>
  <dataFields count="1">
    <dataField name="Sum of Sales" fld="9"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E49B67-48EB-794F-A551-5549664C1C45}" name="PivotTable12"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F8" firstHeaderRow="1" firstDataRow="1" firstDataCol="1"/>
  <pivotFields count="13">
    <pivotField showAll="0"/>
    <pivotField numFmtId="14"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pivotField dataField="1" showAll="0"/>
    <pivotField showAll="0"/>
    <pivotField showAll="0"/>
    <pivotField showAll="0"/>
  </pivotFields>
  <rowFields count="1">
    <field x="3"/>
  </rowFields>
  <rowItems count="5">
    <i>
      <x v="2"/>
    </i>
    <i>
      <x v="1"/>
    </i>
    <i>
      <x v="3"/>
    </i>
    <i>
      <x/>
    </i>
    <i t="grand">
      <x/>
    </i>
  </rowItems>
  <colItems count="1">
    <i/>
  </colItems>
  <dataFields count="1">
    <dataField name="Sum of Sales"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E32AD8-D594-7B48-ACBE-5D5574BFD1B3}" name="PivotTable11"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13">
    <pivotField showAll="0"/>
    <pivotField numFmtId="14" showAll="0"/>
    <pivotField axis="axisRow" showAll="0" sortType="descending">
      <items count="8">
        <item x="4"/>
        <item x="6"/>
        <item x="3"/>
        <item h="1" x="2"/>
        <item h="1" x="5"/>
        <item h="1" x="0"/>
        <item h="1" x="1"/>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items count="4">
        <item x="1"/>
        <item x="2"/>
        <item x="0"/>
        <item t="default"/>
      </items>
    </pivotField>
    <pivotField showAll="0"/>
    <pivotField showAll="0"/>
    <pivotField showAll="0"/>
    <pivotField showAll="0"/>
    <pivotField dataField="1" showAll="0"/>
    <pivotField showAll="0"/>
    <pivotField showAll="0"/>
    <pivotField showAll="0"/>
  </pivotFields>
  <rowFields count="1">
    <field x="2"/>
  </rowFields>
  <rowItems count="4">
    <i>
      <x v="2"/>
    </i>
    <i>
      <x/>
    </i>
    <i>
      <x v="1"/>
    </i>
    <i t="grand">
      <x/>
    </i>
  </rowItems>
  <colItems count="1">
    <i/>
  </colItems>
  <dataFields count="1">
    <dataField name="Sum of Sales" fld="9"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6CF59A-3FE2-7E43-B18E-B0D51EDE6E52}" name="PivotTable15"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3:O7" firstHeaderRow="1" firstDataRow="1" firstDataCol="1"/>
  <pivotFields count="13">
    <pivotField showAll="0"/>
    <pivotField numFmtId="14" showAll="0"/>
    <pivotField showAll="0"/>
    <pivotField showAll="0">
      <items count="5">
        <item x="0"/>
        <item x="1"/>
        <item x="3"/>
        <item x="2"/>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s>
  <rowFields count="1">
    <field x="4"/>
  </rowFields>
  <rowItems count="4">
    <i>
      <x/>
    </i>
    <i>
      <x v="2"/>
    </i>
    <i>
      <x v="1"/>
    </i>
    <i t="grand">
      <x/>
    </i>
  </rowItems>
  <colItems count="1">
    <i/>
  </colItems>
  <dataFields count="1">
    <dataField name="Sum of Discount" fld="8" baseField="0" baseItem="0"/>
  </dataField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D87A3E-3C69-6C44-9F93-1F2F99ADFECF}" name="PivotTable14"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3:L8" firstHeaderRow="1" firstDataRow="1" firstDataCol="1"/>
  <pivotFields count="13">
    <pivotField showAll="0"/>
    <pivotField numFmtId="14"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dataField="1" showAll="0"/>
    <pivotField showAll="0"/>
    <pivotField showAll="0"/>
    <pivotField showAll="0"/>
    <pivotField showAll="0"/>
    <pivotField showAll="0"/>
    <pivotField showAll="0"/>
  </pivotFields>
  <rowFields count="1">
    <field x="3"/>
  </rowFields>
  <rowItems count="5">
    <i>
      <x v="2"/>
    </i>
    <i>
      <x v="1"/>
    </i>
    <i>
      <x v="3"/>
    </i>
    <i>
      <x/>
    </i>
    <i t="grand">
      <x/>
    </i>
  </rowItems>
  <colItems count="1">
    <i/>
  </colItems>
  <dataFields count="1">
    <dataField name="Sum of Quantity" fld="6"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3"/>
          </reference>
        </references>
      </pivotArea>
    </chartFormat>
    <chartFormat chart="6" format="8">
      <pivotArea type="data" outline="0" fieldPosition="0">
        <references count="2">
          <reference field="4294967294" count="1" selected="0">
            <x v="0"/>
          </reference>
          <reference field="3" count="1" selected="0">
            <x v="2"/>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11B4C8-7F41-0848-AD10-E57787AA8D7E}" autoFormatId="16" applyNumberFormats="0" applyBorderFormats="0" applyFontFormats="0" applyPatternFormats="0" applyAlignmentFormats="0" applyWidthHeightFormats="0">
  <queryTableRefresh nextId="17" unboundColumnsRight="2">
    <queryTableFields count="14">
      <queryTableField id="1" name="Order ID" tableColumnId="1"/>
      <queryTableField id="2" name="Order Date" tableColumnId="2"/>
      <queryTableField id="3" name="Customer Name" tableColumnId="3"/>
      <queryTableField id="4" name="Region" tableColumnId="4"/>
      <queryTableField id="5" name="Product Category" tableColumnId="5"/>
      <queryTableField id="6" name="SubCategory" tableColumnId="6"/>
      <queryTableField id="7" name="Quantity" tableColumnId="7"/>
      <queryTableField id="8" name="Unit Price" tableColumnId="8"/>
      <queryTableField id="9" name="Discount" tableColumnId="9"/>
      <queryTableField id="10" name="Sales" tableColumnId="10"/>
      <queryTableField id="11" name="Profit" tableColumnId="11"/>
      <queryTableField id="12" name="Returned" tableColumnId="12"/>
      <queryTableField id="15" dataBound="0" tableColumnId="15"/>
      <queryTableField id="16" dataBound="0" tableColumnId="16"/>
    </queryTableFields>
    <queryTableDeletedFields count="1">
      <deletedField name="Total revenu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C7380F-D240-5D46-9903-19D0661CD8AD}" sourceName="Region">
  <pivotTables>
    <pivotTable tabId="4" name="PivotTable11"/>
    <pivotTable tabId="4" name="PivotTable12"/>
    <pivotTable tabId="4" name="PivotTable13"/>
    <pivotTable tabId="4" name="PivotTable14"/>
    <pivotTable tabId="4" name="PivotTable15"/>
  </pivotTables>
  <data>
    <tabular pivotCacheId="189988053">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EA754B7-1E94-254C-B64C-8146B6AE6D7E}" sourceName="Product Category">
  <pivotTables>
    <pivotTable tabId="4" name="PivotTable11"/>
    <pivotTable tabId="4" name="PivotTable12"/>
    <pivotTable tabId="4" name="PivotTable13"/>
    <pivotTable tabId="4" name="PivotTable14"/>
    <pivotTable tabId="4" name="PivotTable15"/>
  </pivotTables>
  <data>
    <tabular pivotCacheId="18998805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654F2C3-A62B-2441-B193-D34285238FAE}" cache="Slicer_Region" caption="Region" columnCount="2" style="SlicerStyleDark2 2" rowHeight="457200"/>
  <slicer name="Product Category" xr10:uid="{8B2AB4ED-3145-E749-BDDB-6E89F5A7C458}" cache="Slicer_Product_Category" caption="Product Category" style="SlicerStyleDark2 2"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63A9BD-9B10-994B-8C70-2A8BC22828E8}" name="Sheet1" displayName="Sheet1" ref="A1:N248" tableType="queryTable" totalsRowShown="0">
  <autoFilter ref="A1:N248" xr:uid="{3063A9BD-9B10-994B-8C70-2A8BC22828E8}"/>
  <sortState xmlns:xlrd2="http://schemas.microsoft.com/office/spreadsheetml/2017/richdata2" ref="A2:L248">
    <sortCondition ref="B1:B248"/>
  </sortState>
  <tableColumns count="14">
    <tableColumn id="1" xr3:uid="{4FC988F4-3585-B54F-945C-2F1B318F7820}" uniqueName="1" name="Order ID" queryTableFieldId="1"/>
    <tableColumn id="2" xr3:uid="{C647276C-AE70-7C4A-8432-A919C6F9400D}" uniqueName="2" name="Order Date" queryTableFieldId="2" dataDxfId="8"/>
    <tableColumn id="3" xr3:uid="{4580F4DC-9F71-4D41-B738-7DE9CE7F7BBF}" uniqueName="3" name="Customer Name" queryTableFieldId="3" dataDxfId="7"/>
    <tableColumn id="4" xr3:uid="{B974E0D6-C499-744F-9BAF-455F6EC2A34A}" uniqueName="4" name="Region" queryTableFieldId="4" dataDxfId="6"/>
    <tableColumn id="5" xr3:uid="{9E6C6C18-2B82-6340-85FF-34B74AB36C50}" uniqueName="5" name="Product Category" queryTableFieldId="5" dataDxfId="5"/>
    <tableColumn id="6" xr3:uid="{D32B77AC-9B8A-444C-A7F7-0090B2252DB9}" uniqueName="6" name="SubCategory" queryTableFieldId="6" dataDxfId="4"/>
    <tableColumn id="7" xr3:uid="{43655372-DE84-9745-961F-B76BC500D408}" uniqueName="7" name="Quantity" queryTableFieldId="7"/>
    <tableColumn id="8" xr3:uid="{9F40BC0C-1752-C446-B241-7D76BBBA0C93}" uniqueName="8" name="Unit Price" queryTableFieldId="8"/>
    <tableColumn id="9" xr3:uid="{1406F187-D91F-6343-BD00-070DB0C065A7}" uniqueName="9" name="Discount" queryTableFieldId="9"/>
    <tableColumn id="10" xr3:uid="{12E87ED2-03C6-794C-A8BD-A0AE7F844BB3}" uniqueName="10" name="Sales" queryTableFieldId="10" dataDxfId="3"/>
    <tableColumn id="11" xr3:uid="{E8F29CF8-28DA-8243-BA5C-F2CC4B5D2A01}" uniqueName="11" name="Profit" queryTableFieldId="11"/>
    <tableColumn id="12" xr3:uid="{E3CD33DD-C0F2-6E40-9FF0-1D9FE6CD1C0F}" uniqueName="12" name="Returned" queryTableFieldId="12" dataDxfId="2"/>
    <tableColumn id="15" xr3:uid="{03F62838-A9E6-354A-9054-0FD894EA7422}" uniqueName="15" name="Total revenue" queryTableFieldId="15" dataDxfId="1">
      <calculatedColumnFormula>Sheet1[[#This Row],[Quantity]]*Sheet1[[#This Row],[Unit Price]]*(1 - Sheet1[[#This Row],[Discount]])</calculatedColumnFormula>
    </tableColumn>
    <tableColumn id="16" xr3:uid="{6F95C49C-78D5-7F46-A716-C341420DBBE3}" uniqueName="16" name="cost" queryTableFieldId="16" dataDxfId="0">
      <calculatedColumnFormula>Sheet1[[#This Row],[Sales]]-Sheet1[[#This Row],[Profit]]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CC50-0CBA-E849-909A-A1FDCC0EF5EE}">
  <dimension ref="A3:O9"/>
  <sheetViews>
    <sheetView zoomScale="135" zoomScaleNormal="150" workbookViewId="0">
      <selection activeCell="E19" sqref="E19"/>
    </sheetView>
  </sheetViews>
  <sheetFormatPr baseColWidth="10" defaultRowHeight="15" x14ac:dyDescent="0.2"/>
  <cols>
    <col min="1" max="1" width="12.1640625" bestFit="1" customWidth="1"/>
    <col min="2" max="2" width="10.5" bestFit="1" customWidth="1"/>
    <col min="5" max="5" width="12.1640625" bestFit="1" customWidth="1"/>
    <col min="6" max="6" width="11" bestFit="1" customWidth="1"/>
    <col min="8" max="8" width="12.1640625" bestFit="1" customWidth="1"/>
    <col min="9" max="9" width="11" bestFit="1" customWidth="1"/>
    <col min="11" max="11" width="12.1640625" bestFit="1" customWidth="1"/>
    <col min="12" max="12" width="13.83203125" bestFit="1" customWidth="1"/>
    <col min="14" max="14" width="12.33203125" bestFit="1" customWidth="1"/>
    <col min="15" max="15" width="13.83203125" bestFit="1" customWidth="1"/>
  </cols>
  <sheetData>
    <row r="3" spans="1:15" x14ac:dyDescent="0.2">
      <c r="A3" s="4" t="s">
        <v>41</v>
      </c>
      <c r="B3" t="s">
        <v>43</v>
      </c>
      <c r="E3" s="4" t="s">
        <v>41</v>
      </c>
      <c r="F3" t="s">
        <v>43</v>
      </c>
      <c r="H3" s="4" t="s">
        <v>41</v>
      </c>
      <c r="I3" t="s">
        <v>43</v>
      </c>
      <c r="K3" s="4" t="s">
        <v>41</v>
      </c>
      <c r="L3" t="s">
        <v>44</v>
      </c>
      <c r="N3" s="4" t="s">
        <v>41</v>
      </c>
      <c r="O3" t="s">
        <v>45</v>
      </c>
    </row>
    <row r="4" spans="1:15" x14ac:dyDescent="0.2">
      <c r="A4" s="5" t="s">
        <v>16</v>
      </c>
      <c r="B4">
        <v>51689</v>
      </c>
      <c r="E4" s="5" t="s">
        <v>21</v>
      </c>
      <c r="F4">
        <v>93158</v>
      </c>
      <c r="H4" s="5" t="s">
        <v>29</v>
      </c>
      <c r="I4">
        <v>74035</v>
      </c>
      <c r="K4" s="5" t="s">
        <v>21</v>
      </c>
      <c r="L4">
        <v>372</v>
      </c>
      <c r="N4" s="5" t="s">
        <v>26</v>
      </c>
      <c r="O4">
        <v>12.999999999999998</v>
      </c>
    </row>
    <row r="5" spans="1:15" x14ac:dyDescent="0.2">
      <c r="A5" s="5" t="s">
        <v>15</v>
      </c>
      <c r="B5">
        <v>49726</v>
      </c>
      <c r="E5" s="5" t="s">
        <v>23</v>
      </c>
      <c r="F5">
        <v>81448</v>
      </c>
      <c r="H5" s="5" t="s">
        <v>31</v>
      </c>
      <c r="I5">
        <v>71945</v>
      </c>
      <c r="K5" s="5" t="s">
        <v>23</v>
      </c>
      <c r="L5">
        <v>312</v>
      </c>
      <c r="N5" s="5" t="s">
        <v>25</v>
      </c>
      <c r="O5">
        <v>10.899999999999991</v>
      </c>
    </row>
    <row r="6" spans="1:15" x14ac:dyDescent="0.2">
      <c r="A6" s="5" t="s">
        <v>18</v>
      </c>
      <c r="B6">
        <v>43642</v>
      </c>
      <c r="E6" s="5" t="s">
        <v>22</v>
      </c>
      <c r="F6">
        <v>77522</v>
      </c>
      <c r="H6" s="5" t="s">
        <v>28</v>
      </c>
      <c r="I6">
        <v>67872</v>
      </c>
      <c r="K6" s="5" t="s">
        <v>22</v>
      </c>
      <c r="L6">
        <v>279</v>
      </c>
      <c r="N6" s="5" t="s">
        <v>24</v>
      </c>
      <c r="O6">
        <v>10.099999999999993</v>
      </c>
    </row>
    <row r="7" spans="1:15" x14ac:dyDescent="0.2">
      <c r="A7" s="5" t="s">
        <v>42</v>
      </c>
      <c r="B7">
        <v>145057</v>
      </c>
      <c r="E7" s="5" t="s">
        <v>20</v>
      </c>
      <c r="F7">
        <v>71473</v>
      </c>
      <c r="H7" s="5" t="s">
        <v>27</v>
      </c>
      <c r="I7">
        <v>54607</v>
      </c>
      <c r="K7" s="5" t="s">
        <v>20</v>
      </c>
      <c r="L7">
        <v>278</v>
      </c>
      <c r="N7" s="5" t="s">
        <v>42</v>
      </c>
      <c r="O7">
        <v>33.999999999999986</v>
      </c>
    </row>
    <row r="8" spans="1:15" x14ac:dyDescent="0.2">
      <c r="E8" s="5" t="s">
        <v>42</v>
      </c>
      <c r="F8">
        <v>323601</v>
      </c>
      <c r="H8" s="5" t="s">
        <v>30</v>
      </c>
      <c r="I8">
        <v>55142</v>
      </c>
      <c r="K8" s="5" t="s">
        <v>42</v>
      </c>
      <c r="L8">
        <v>1241</v>
      </c>
    </row>
    <row r="9" spans="1:15" x14ac:dyDescent="0.2">
      <c r="H9" s="5" t="s">
        <v>42</v>
      </c>
      <c r="I9">
        <v>323601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42ED0-F5BB-834A-B882-402DDA7B944F}">
  <dimension ref="A1:N248"/>
  <sheetViews>
    <sheetView tabSelected="1" zoomScale="115" zoomScaleNormal="125" workbookViewId="0">
      <selection activeCell="M3" sqref="M3"/>
    </sheetView>
  </sheetViews>
  <sheetFormatPr baseColWidth="10" defaultRowHeight="15" x14ac:dyDescent="0.2"/>
  <cols>
    <col min="1" max="1" width="10.1640625" bestFit="1" customWidth="1"/>
    <col min="2" max="2" width="22.5" customWidth="1"/>
    <col min="3" max="3" width="16" bestFit="1" customWidth="1"/>
    <col min="4" max="4" width="9" bestFit="1" customWidth="1"/>
    <col min="5" max="5" width="17" bestFit="1" customWidth="1"/>
    <col min="6" max="6" width="13.33203125" bestFit="1" customWidth="1"/>
    <col min="7" max="7" width="10.5" bestFit="1" customWidth="1"/>
    <col min="8" max="8" width="11.33203125" bestFit="1" customWidth="1"/>
    <col min="9" max="9" width="10.5" bestFit="1" customWidth="1"/>
    <col min="10" max="10" width="7.5" bestFit="1" customWidth="1"/>
    <col min="11" max="11" width="8" bestFit="1" customWidth="1"/>
    <col min="12" max="12" width="11" customWidth="1"/>
    <col min="13" max="13" width="14.33203125" bestFit="1" customWidth="1"/>
  </cols>
  <sheetData>
    <row r="1" spans="1:14" x14ac:dyDescent="0.2">
      <c r="A1" t="s">
        <v>0</v>
      </c>
      <c r="B1" s="3" t="s">
        <v>1</v>
      </c>
      <c r="C1" t="s">
        <v>37</v>
      </c>
      <c r="D1" t="s">
        <v>3</v>
      </c>
      <c r="E1" t="s">
        <v>38</v>
      </c>
      <c r="F1" t="s">
        <v>39</v>
      </c>
      <c r="G1" t="s">
        <v>6</v>
      </c>
      <c r="H1" t="s">
        <v>7</v>
      </c>
      <c r="I1" t="s">
        <v>8</v>
      </c>
      <c r="J1" t="s">
        <v>9</v>
      </c>
      <c r="K1" t="s">
        <v>10</v>
      </c>
      <c r="L1" t="s">
        <v>11</v>
      </c>
      <c r="M1" t="s">
        <v>40</v>
      </c>
      <c r="N1" t="s">
        <v>46</v>
      </c>
    </row>
    <row r="2" spans="1:14" x14ac:dyDescent="0.2">
      <c r="A2">
        <v>1102</v>
      </c>
      <c r="B2" s="8">
        <v>44562</v>
      </c>
      <c r="C2" t="s">
        <v>14</v>
      </c>
      <c r="D2" t="s">
        <v>22</v>
      </c>
      <c r="E2" t="s">
        <v>25</v>
      </c>
      <c r="F2" t="s">
        <v>27</v>
      </c>
      <c r="G2">
        <v>7</v>
      </c>
      <c r="H2">
        <v>420</v>
      </c>
      <c r="I2">
        <v>0.3</v>
      </c>
      <c r="J2" s="7">
        <f>Sheet1[[#This Row],[Quantity]]*Sheet1[[#This Row],[Unit Price]]*(1-Sheet1[[#This Row],[Discount]])</f>
        <v>2058</v>
      </c>
      <c r="K2">
        <v>457</v>
      </c>
      <c r="L2" t="s">
        <v>32</v>
      </c>
      <c r="M2" s="7">
        <f>Sheet1[[#This Row],[Quantity]]*Sheet1[[#This Row],[Unit Price]]*(1 - Sheet1[[#This Row],[Discount]])</f>
        <v>2058</v>
      </c>
      <c r="N2" s="7">
        <f>Sheet1[[#This Row],[Sales]]-Sheet1[[#This Row],[Profit]]</f>
        <v>1601</v>
      </c>
    </row>
    <row r="3" spans="1:14" x14ac:dyDescent="0.2">
      <c r="A3">
        <v>1435</v>
      </c>
      <c r="B3" s="8">
        <v>44563</v>
      </c>
      <c r="C3" t="s">
        <v>17</v>
      </c>
      <c r="D3" t="s">
        <v>21</v>
      </c>
      <c r="E3" t="s">
        <v>25</v>
      </c>
      <c r="F3" t="s">
        <v>27</v>
      </c>
      <c r="G3">
        <v>1</v>
      </c>
      <c r="H3">
        <v>413</v>
      </c>
      <c r="I3">
        <v>0.1</v>
      </c>
      <c r="J3" s="7">
        <f>Sheet1[[#This Row],[Quantity]]*Sheet1[[#This Row],[Unit Price]]*(1-Sheet1[[#This Row],[Discount]])</f>
        <v>371.7</v>
      </c>
      <c r="K3">
        <v>100</v>
      </c>
      <c r="L3" t="s">
        <v>32</v>
      </c>
      <c r="M3" s="7">
        <f>Sheet1[[#This Row],[Quantity]]*Sheet1[[#This Row],[Unit Price]]*(1 - Sheet1[[#This Row],[Discount]])</f>
        <v>371.7</v>
      </c>
      <c r="N3" s="7">
        <f>Sheet1[[#This Row],[Sales]]-Sheet1[[#This Row],[Profit]]</f>
        <v>271.7</v>
      </c>
    </row>
    <row r="4" spans="1:14" x14ac:dyDescent="0.2">
      <c r="A4">
        <v>1860</v>
      </c>
      <c r="B4" s="8">
        <v>44564</v>
      </c>
      <c r="C4" t="s">
        <v>13</v>
      </c>
      <c r="D4" t="s">
        <v>20</v>
      </c>
      <c r="E4" t="s">
        <v>26</v>
      </c>
      <c r="F4" t="s">
        <v>30</v>
      </c>
      <c r="G4">
        <v>2</v>
      </c>
      <c r="H4">
        <v>393</v>
      </c>
      <c r="I4">
        <v>0</v>
      </c>
      <c r="J4" s="7">
        <f>Sheet1[[#This Row],[Quantity]]*Sheet1[[#This Row],[Unit Price]]*(1-Sheet1[[#This Row],[Discount]])</f>
        <v>786</v>
      </c>
      <c r="K4">
        <v>164</v>
      </c>
      <c r="L4" t="s">
        <v>32</v>
      </c>
      <c r="M4" s="7">
        <f>Sheet1[[#This Row],[Quantity]]*Sheet1[[#This Row],[Unit Price]]*(1 - Sheet1[[#This Row],[Discount]])</f>
        <v>786</v>
      </c>
      <c r="N4" s="7">
        <f>Sheet1[[#This Row],[Sales]]-Sheet1[[#This Row],[Profit]]</f>
        <v>622</v>
      </c>
    </row>
    <row r="5" spans="1:14" x14ac:dyDescent="0.2">
      <c r="A5">
        <v>1270</v>
      </c>
      <c r="B5" s="8">
        <v>44565</v>
      </c>
      <c r="C5" t="s">
        <v>17</v>
      </c>
      <c r="D5" t="s">
        <v>20</v>
      </c>
      <c r="E5" t="s">
        <v>25</v>
      </c>
      <c r="F5" t="s">
        <v>27</v>
      </c>
      <c r="G5">
        <v>3</v>
      </c>
      <c r="H5">
        <v>212</v>
      </c>
      <c r="I5">
        <v>0.2</v>
      </c>
      <c r="J5" s="7">
        <f>Sheet1[[#This Row],[Quantity]]*Sheet1[[#This Row],[Unit Price]]*(1-Sheet1[[#This Row],[Discount]])</f>
        <v>508.8</v>
      </c>
      <c r="K5">
        <v>122</v>
      </c>
      <c r="L5" t="s">
        <v>32</v>
      </c>
      <c r="M5" s="7">
        <f>Sheet1[[#This Row],[Quantity]]*Sheet1[[#This Row],[Unit Price]]*(1 - Sheet1[[#This Row],[Discount]])</f>
        <v>508.8</v>
      </c>
      <c r="N5" s="7">
        <f>Sheet1[[#This Row],[Sales]]-Sheet1[[#This Row],[Profit]]</f>
        <v>386.8</v>
      </c>
    </row>
    <row r="6" spans="1:14" x14ac:dyDescent="0.2">
      <c r="A6">
        <v>1106</v>
      </c>
      <c r="B6" s="8">
        <v>44566</v>
      </c>
      <c r="C6" t="s">
        <v>16</v>
      </c>
      <c r="D6" t="s">
        <v>20</v>
      </c>
      <c r="E6" t="s">
        <v>24</v>
      </c>
      <c r="F6" t="s">
        <v>31</v>
      </c>
      <c r="G6">
        <v>1</v>
      </c>
      <c r="H6">
        <v>41</v>
      </c>
      <c r="I6">
        <v>0</v>
      </c>
      <c r="J6" s="7">
        <f>Sheet1[[#This Row],[Quantity]]*Sheet1[[#This Row],[Unit Price]]*(1-Sheet1[[#This Row],[Discount]])</f>
        <v>41</v>
      </c>
      <c r="K6">
        <v>4</v>
      </c>
      <c r="L6" t="s">
        <v>32</v>
      </c>
      <c r="M6" s="7">
        <f>Sheet1[[#This Row],[Quantity]]*Sheet1[[#This Row],[Unit Price]]*(1 - Sheet1[[#This Row],[Discount]])</f>
        <v>41</v>
      </c>
      <c r="N6" s="7">
        <f>Sheet1[[#This Row],[Sales]]-Sheet1[[#This Row],[Profit]]</f>
        <v>37</v>
      </c>
    </row>
    <row r="7" spans="1:14" x14ac:dyDescent="0.2">
      <c r="A7">
        <v>1071</v>
      </c>
      <c r="B7" s="8">
        <v>44567</v>
      </c>
      <c r="C7" t="s">
        <v>16</v>
      </c>
      <c r="D7" t="s">
        <v>23</v>
      </c>
      <c r="E7" t="s">
        <v>24</v>
      </c>
      <c r="F7" t="s">
        <v>28</v>
      </c>
      <c r="G7">
        <v>9</v>
      </c>
      <c r="H7">
        <v>493</v>
      </c>
      <c r="I7">
        <v>0.3</v>
      </c>
      <c r="J7" s="7">
        <f>Sheet1[[#This Row],[Quantity]]*Sheet1[[#This Row],[Unit Price]]*(1-Sheet1[[#This Row],[Discount]])</f>
        <v>3105.8999999999996</v>
      </c>
      <c r="K7">
        <v>514</v>
      </c>
      <c r="L7" t="s">
        <v>32</v>
      </c>
      <c r="M7" s="7">
        <f>Sheet1[[#This Row],[Quantity]]*Sheet1[[#This Row],[Unit Price]]*(1 - Sheet1[[#This Row],[Discount]])</f>
        <v>3105.8999999999996</v>
      </c>
      <c r="N7" s="7">
        <f>Sheet1[[#This Row],[Sales]]-Sheet1[[#This Row],[Profit]]</f>
        <v>2591.8999999999996</v>
      </c>
    </row>
    <row r="8" spans="1:14" x14ac:dyDescent="0.2">
      <c r="A8">
        <v>1700</v>
      </c>
      <c r="B8" s="8">
        <v>44568</v>
      </c>
      <c r="C8" t="s">
        <v>15</v>
      </c>
      <c r="D8" t="s">
        <v>21</v>
      </c>
      <c r="E8" t="s">
        <v>26</v>
      </c>
      <c r="F8" t="s">
        <v>31</v>
      </c>
      <c r="G8">
        <v>8</v>
      </c>
      <c r="H8">
        <v>139</v>
      </c>
      <c r="I8">
        <v>0.1</v>
      </c>
      <c r="J8" s="7">
        <f>Sheet1[[#This Row],[Quantity]]*Sheet1[[#This Row],[Unit Price]]*(1-Sheet1[[#This Row],[Discount]])</f>
        <v>1000.8000000000001</v>
      </c>
      <c r="K8">
        <v>52</v>
      </c>
      <c r="L8" t="s">
        <v>32</v>
      </c>
      <c r="M8" s="7">
        <f>Sheet1[[#This Row],[Quantity]]*Sheet1[[#This Row],[Unit Price]]*(1 - Sheet1[[#This Row],[Discount]])</f>
        <v>1000.8000000000001</v>
      </c>
      <c r="N8" s="7">
        <f>Sheet1[[#This Row],[Sales]]-Sheet1[[#This Row],[Profit]]</f>
        <v>948.80000000000007</v>
      </c>
    </row>
    <row r="9" spans="1:14" x14ac:dyDescent="0.2">
      <c r="A9">
        <v>1614</v>
      </c>
      <c r="B9" s="8">
        <v>44569</v>
      </c>
      <c r="C9" t="s">
        <v>14</v>
      </c>
      <c r="D9" t="s">
        <v>23</v>
      </c>
      <c r="E9" t="s">
        <v>24</v>
      </c>
      <c r="F9" t="s">
        <v>30</v>
      </c>
      <c r="G9">
        <v>9</v>
      </c>
      <c r="H9">
        <v>325</v>
      </c>
      <c r="I9">
        <v>0.1</v>
      </c>
      <c r="J9" s="7">
        <f>Sheet1[[#This Row],[Quantity]]*Sheet1[[#This Row],[Unit Price]]*(1-Sheet1[[#This Row],[Discount]])</f>
        <v>2632.5</v>
      </c>
      <c r="K9">
        <v>610</v>
      </c>
      <c r="L9" t="s">
        <v>32</v>
      </c>
      <c r="M9" s="7">
        <f>Sheet1[[#This Row],[Quantity]]*Sheet1[[#This Row],[Unit Price]]*(1 - Sheet1[[#This Row],[Discount]])</f>
        <v>2632.5</v>
      </c>
      <c r="N9" s="7">
        <f>Sheet1[[#This Row],[Sales]]-Sheet1[[#This Row],[Profit]]</f>
        <v>2022.5</v>
      </c>
    </row>
    <row r="10" spans="1:14" x14ac:dyDescent="0.2">
      <c r="A10">
        <v>1121</v>
      </c>
      <c r="B10" s="8">
        <v>44570</v>
      </c>
      <c r="C10" t="s">
        <v>19</v>
      </c>
      <c r="D10" t="s">
        <v>20</v>
      </c>
      <c r="E10" t="s">
        <v>24</v>
      </c>
      <c r="F10" t="s">
        <v>31</v>
      </c>
      <c r="G10">
        <v>7</v>
      </c>
      <c r="H10">
        <v>289</v>
      </c>
      <c r="I10">
        <v>0.3</v>
      </c>
      <c r="J10" s="7">
        <f>Sheet1[[#This Row],[Quantity]]*Sheet1[[#This Row],[Unit Price]]*(1-Sheet1[[#This Row],[Discount]])</f>
        <v>1416.1</v>
      </c>
      <c r="K10">
        <v>422</v>
      </c>
      <c r="L10" t="s">
        <v>32</v>
      </c>
      <c r="M10" s="7">
        <f>Sheet1[[#This Row],[Quantity]]*Sheet1[[#This Row],[Unit Price]]*(1 - Sheet1[[#This Row],[Discount]])</f>
        <v>1416.1</v>
      </c>
      <c r="N10" s="7">
        <f>Sheet1[[#This Row],[Sales]]-Sheet1[[#This Row],[Profit]]</f>
        <v>994.09999999999991</v>
      </c>
    </row>
    <row r="11" spans="1:14" x14ac:dyDescent="0.2">
      <c r="A11">
        <v>1466</v>
      </c>
      <c r="B11" s="8">
        <v>44571</v>
      </c>
      <c r="C11" t="s">
        <v>13</v>
      </c>
      <c r="D11" t="s">
        <v>20</v>
      </c>
      <c r="E11" t="s">
        <v>24</v>
      </c>
      <c r="F11" t="s">
        <v>30</v>
      </c>
      <c r="G11">
        <v>9</v>
      </c>
      <c r="H11">
        <v>211</v>
      </c>
      <c r="I11">
        <v>0.1</v>
      </c>
      <c r="J11" s="7">
        <f>Sheet1[[#This Row],[Quantity]]*Sheet1[[#This Row],[Unit Price]]*(1-Sheet1[[#This Row],[Discount]])</f>
        <v>1709.1000000000001</v>
      </c>
      <c r="K11">
        <v>128</v>
      </c>
      <c r="L11" t="s">
        <v>32</v>
      </c>
      <c r="M11" s="7">
        <f>Sheet1[[#This Row],[Quantity]]*Sheet1[[#This Row],[Unit Price]]*(1 - Sheet1[[#This Row],[Discount]])</f>
        <v>1709.1000000000001</v>
      </c>
      <c r="N11" s="7">
        <f>Sheet1[[#This Row],[Sales]]-Sheet1[[#This Row],[Profit]]</f>
        <v>1581.1000000000001</v>
      </c>
    </row>
    <row r="12" spans="1:14" x14ac:dyDescent="0.2">
      <c r="A12">
        <v>1214</v>
      </c>
      <c r="B12" s="8">
        <v>44572</v>
      </c>
      <c r="C12" t="s">
        <v>18</v>
      </c>
      <c r="D12" t="s">
        <v>23</v>
      </c>
      <c r="E12" t="s">
        <v>26</v>
      </c>
      <c r="F12" t="s">
        <v>31</v>
      </c>
      <c r="G12">
        <v>6</v>
      </c>
      <c r="H12">
        <v>194</v>
      </c>
      <c r="I12">
        <v>0.1</v>
      </c>
      <c r="J12" s="7">
        <f>Sheet1[[#This Row],[Quantity]]*Sheet1[[#This Row],[Unit Price]]*(1-Sheet1[[#This Row],[Discount]])</f>
        <v>1047.6000000000001</v>
      </c>
      <c r="K12">
        <v>158</v>
      </c>
      <c r="L12" t="s">
        <v>32</v>
      </c>
      <c r="M12" s="7">
        <f>Sheet1[[#This Row],[Quantity]]*Sheet1[[#This Row],[Unit Price]]*(1 - Sheet1[[#This Row],[Discount]])</f>
        <v>1047.6000000000001</v>
      </c>
      <c r="N12" s="7">
        <f>Sheet1[[#This Row],[Sales]]-Sheet1[[#This Row],[Profit]]</f>
        <v>889.60000000000014</v>
      </c>
    </row>
    <row r="13" spans="1:14" x14ac:dyDescent="0.2">
      <c r="A13">
        <v>1458</v>
      </c>
      <c r="B13" s="8">
        <v>44573</v>
      </c>
      <c r="C13" t="s">
        <v>14</v>
      </c>
      <c r="D13" t="s">
        <v>22</v>
      </c>
      <c r="E13" t="s">
        <v>25</v>
      </c>
      <c r="F13" t="s">
        <v>27</v>
      </c>
      <c r="G13">
        <v>4</v>
      </c>
      <c r="H13">
        <v>223</v>
      </c>
      <c r="I13">
        <v>0.1</v>
      </c>
      <c r="J13" s="7">
        <f>Sheet1[[#This Row],[Quantity]]*Sheet1[[#This Row],[Unit Price]]*(1-Sheet1[[#This Row],[Discount]])</f>
        <v>802.80000000000007</v>
      </c>
      <c r="K13">
        <v>81</v>
      </c>
      <c r="L13" t="s">
        <v>32</v>
      </c>
      <c r="M13" s="7">
        <f>Sheet1[[#This Row],[Quantity]]*Sheet1[[#This Row],[Unit Price]]*(1 - Sheet1[[#This Row],[Discount]])</f>
        <v>802.80000000000007</v>
      </c>
      <c r="N13" s="7">
        <f>Sheet1[[#This Row],[Sales]]-Sheet1[[#This Row],[Profit]]</f>
        <v>721.80000000000007</v>
      </c>
    </row>
    <row r="14" spans="1:14" x14ac:dyDescent="0.2">
      <c r="A14">
        <v>1087</v>
      </c>
      <c r="B14" s="8">
        <v>44574</v>
      </c>
      <c r="C14" t="s">
        <v>16</v>
      </c>
      <c r="D14" t="s">
        <v>23</v>
      </c>
      <c r="E14" t="s">
        <v>24</v>
      </c>
      <c r="F14" t="s">
        <v>29</v>
      </c>
      <c r="G14">
        <v>2</v>
      </c>
      <c r="H14">
        <v>183</v>
      </c>
      <c r="I14">
        <v>0.2</v>
      </c>
      <c r="J14" s="7">
        <f>Sheet1[[#This Row],[Quantity]]*Sheet1[[#This Row],[Unit Price]]*(1-Sheet1[[#This Row],[Discount]])</f>
        <v>292.8</v>
      </c>
      <c r="K14">
        <v>55</v>
      </c>
      <c r="L14" t="s">
        <v>32</v>
      </c>
      <c r="M14" s="7">
        <f>Sheet1[[#This Row],[Quantity]]*Sheet1[[#This Row],[Unit Price]]*(1 - Sheet1[[#This Row],[Discount]])</f>
        <v>292.8</v>
      </c>
      <c r="N14" s="7">
        <f>Sheet1[[#This Row],[Sales]]-Sheet1[[#This Row],[Profit]]</f>
        <v>237.8</v>
      </c>
    </row>
    <row r="15" spans="1:14" x14ac:dyDescent="0.2">
      <c r="A15">
        <v>1372</v>
      </c>
      <c r="B15" s="8">
        <v>44575</v>
      </c>
      <c r="C15" t="s">
        <v>17</v>
      </c>
      <c r="D15" t="s">
        <v>21</v>
      </c>
      <c r="E15" t="s">
        <v>25</v>
      </c>
      <c r="F15" t="s">
        <v>30</v>
      </c>
      <c r="G15">
        <v>7</v>
      </c>
      <c r="H15">
        <v>270</v>
      </c>
      <c r="I15">
        <v>0.2</v>
      </c>
      <c r="J15" s="7">
        <f>Sheet1[[#This Row],[Quantity]]*Sheet1[[#This Row],[Unit Price]]*(1-Sheet1[[#This Row],[Discount]])</f>
        <v>1512</v>
      </c>
      <c r="K15">
        <v>353</v>
      </c>
      <c r="L15" t="s">
        <v>32</v>
      </c>
      <c r="M15" s="7">
        <f>Sheet1[[#This Row],[Quantity]]*Sheet1[[#This Row],[Unit Price]]*(1 - Sheet1[[#This Row],[Discount]])</f>
        <v>1512</v>
      </c>
      <c r="N15" s="7">
        <f>Sheet1[[#This Row],[Sales]]-Sheet1[[#This Row],[Profit]]</f>
        <v>1159</v>
      </c>
    </row>
    <row r="16" spans="1:14" x14ac:dyDescent="0.2">
      <c r="A16">
        <v>1099</v>
      </c>
      <c r="B16" s="8">
        <v>44576</v>
      </c>
      <c r="C16" t="s">
        <v>15</v>
      </c>
      <c r="D16" t="s">
        <v>20</v>
      </c>
      <c r="E16" t="s">
        <v>26</v>
      </c>
      <c r="F16" t="s">
        <v>27</v>
      </c>
      <c r="G16">
        <v>5</v>
      </c>
      <c r="H16">
        <v>246</v>
      </c>
      <c r="I16">
        <v>0.1</v>
      </c>
      <c r="J16" s="7">
        <f>Sheet1[[#This Row],[Quantity]]*Sheet1[[#This Row],[Unit Price]]*(1-Sheet1[[#This Row],[Discount]])</f>
        <v>1107</v>
      </c>
      <c r="K16">
        <v>226</v>
      </c>
      <c r="L16" t="s">
        <v>32</v>
      </c>
      <c r="M16" s="7">
        <f>Sheet1[[#This Row],[Quantity]]*Sheet1[[#This Row],[Unit Price]]*(1 - Sheet1[[#This Row],[Discount]])</f>
        <v>1107</v>
      </c>
      <c r="N16" s="7">
        <f>Sheet1[[#This Row],[Sales]]-Sheet1[[#This Row],[Profit]]</f>
        <v>881</v>
      </c>
    </row>
    <row r="17" spans="1:14" x14ac:dyDescent="0.2">
      <c r="A17">
        <v>1663</v>
      </c>
      <c r="B17" s="8">
        <v>44577</v>
      </c>
      <c r="C17" t="s">
        <v>13</v>
      </c>
      <c r="D17" t="s">
        <v>21</v>
      </c>
      <c r="E17" t="s">
        <v>26</v>
      </c>
      <c r="F17" t="s">
        <v>27</v>
      </c>
      <c r="G17">
        <v>2</v>
      </c>
      <c r="H17">
        <v>400</v>
      </c>
      <c r="I17">
        <v>0.3</v>
      </c>
      <c r="J17" s="7">
        <f>Sheet1[[#This Row],[Quantity]]*Sheet1[[#This Row],[Unit Price]]*(1-Sheet1[[#This Row],[Discount]])</f>
        <v>560</v>
      </c>
      <c r="K17">
        <v>78</v>
      </c>
      <c r="L17" t="s">
        <v>33</v>
      </c>
      <c r="M17" s="7">
        <f>Sheet1[[#This Row],[Quantity]]*Sheet1[[#This Row],[Unit Price]]*(1 - Sheet1[[#This Row],[Discount]])</f>
        <v>560</v>
      </c>
      <c r="N17" s="7">
        <f>Sheet1[[#This Row],[Sales]]-Sheet1[[#This Row],[Profit]]</f>
        <v>482</v>
      </c>
    </row>
    <row r="18" spans="1:14" x14ac:dyDescent="0.2">
      <c r="A18">
        <v>1661</v>
      </c>
      <c r="B18" s="8">
        <v>44578</v>
      </c>
      <c r="C18" t="s">
        <v>14</v>
      </c>
      <c r="D18" t="s">
        <v>20</v>
      </c>
      <c r="E18" t="s">
        <v>26</v>
      </c>
      <c r="F18" t="s">
        <v>27</v>
      </c>
      <c r="G18">
        <v>4</v>
      </c>
      <c r="H18">
        <v>26</v>
      </c>
      <c r="I18">
        <v>0.1</v>
      </c>
      <c r="J18" s="7">
        <f>Sheet1[[#This Row],[Quantity]]*Sheet1[[#This Row],[Unit Price]]*(1-Sheet1[[#This Row],[Discount]])</f>
        <v>93.600000000000009</v>
      </c>
      <c r="K18">
        <v>20</v>
      </c>
      <c r="L18" t="s">
        <v>32</v>
      </c>
      <c r="M18" s="7">
        <f>Sheet1[[#This Row],[Quantity]]*Sheet1[[#This Row],[Unit Price]]*(1 - Sheet1[[#This Row],[Discount]])</f>
        <v>93.600000000000009</v>
      </c>
      <c r="N18" s="7">
        <f>Sheet1[[#This Row],[Sales]]-Sheet1[[#This Row],[Profit]]</f>
        <v>73.600000000000009</v>
      </c>
    </row>
    <row r="19" spans="1:14" x14ac:dyDescent="0.2">
      <c r="A19">
        <v>1308</v>
      </c>
      <c r="B19" s="8">
        <v>44579</v>
      </c>
      <c r="C19" t="s">
        <v>19</v>
      </c>
      <c r="D19" t="s">
        <v>20</v>
      </c>
      <c r="E19" t="s">
        <v>26</v>
      </c>
      <c r="F19" t="s">
        <v>28</v>
      </c>
      <c r="G19">
        <v>9</v>
      </c>
      <c r="H19">
        <v>48</v>
      </c>
      <c r="I19">
        <v>0.1</v>
      </c>
      <c r="J19" s="7">
        <f>Sheet1[[#This Row],[Quantity]]*Sheet1[[#This Row],[Unit Price]]*(1-Sheet1[[#This Row],[Discount]])</f>
        <v>388.8</v>
      </c>
      <c r="K19">
        <v>20</v>
      </c>
      <c r="L19" t="s">
        <v>32</v>
      </c>
      <c r="M19" s="7">
        <f>Sheet1[[#This Row],[Quantity]]*Sheet1[[#This Row],[Unit Price]]*(1 - Sheet1[[#This Row],[Discount]])</f>
        <v>388.8</v>
      </c>
      <c r="N19" s="7">
        <f>Sheet1[[#This Row],[Sales]]-Sheet1[[#This Row],[Profit]]</f>
        <v>368.8</v>
      </c>
    </row>
    <row r="20" spans="1:14" x14ac:dyDescent="0.2">
      <c r="A20">
        <v>1769</v>
      </c>
      <c r="B20" s="8">
        <v>44580</v>
      </c>
      <c r="C20" t="s">
        <v>16</v>
      </c>
      <c r="D20" t="s">
        <v>20</v>
      </c>
      <c r="E20" t="s">
        <v>26</v>
      </c>
      <c r="F20" t="s">
        <v>27</v>
      </c>
      <c r="G20">
        <v>6</v>
      </c>
      <c r="H20">
        <v>414</v>
      </c>
      <c r="I20">
        <v>0.1</v>
      </c>
      <c r="J20" s="7">
        <f>Sheet1[[#This Row],[Quantity]]*Sheet1[[#This Row],[Unit Price]]*(1-Sheet1[[#This Row],[Discount]])</f>
        <v>2235.6</v>
      </c>
      <c r="K20">
        <v>597</v>
      </c>
      <c r="L20" t="s">
        <v>32</v>
      </c>
      <c r="M20" s="7">
        <f>Sheet1[[#This Row],[Quantity]]*Sheet1[[#This Row],[Unit Price]]*(1 - Sheet1[[#This Row],[Discount]])</f>
        <v>2235.6</v>
      </c>
      <c r="N20" s="7">
        <f>Sheet1[[#This Row],[Sales]]-Sheet1[[#This Row],[Profit]]</f>
        <v>1638.6</v>
      </c>
    </row>
    <row r="21" spans="1:14" x14ac:dyDescent="0.2">
      <c r="A21">
        <v>1343</v>
      </c>
      <c r="B21" s="8">
        <v>44581</v>
      </c>
      <c r="C21" t="s">
        <v>13</v>
      </c>
      <c r="D21" t="s">
        <v>21</v>
      </c>
      <c r="E21" t="s">
        <v>24</v>
      </c>
      <c r="F21" t="s">
        <v>28</v>
      </c>
      <c r="G21">
        <v>2</v>
      </c>
      <c r="H21">
        <v>52</v>
      </c>
      <c r="I21">
        <v>0</v>
      </c>
      <c r="J21" s="7">
        <f>Sheet1[[#This Row],[Quantity]]*Sheet1[[#This Row],[Unit Price]]*(1-Sheet1[[#This Row],[Discount]])</f>
        <v>104</v>
      </c>
      <c r="K21">
        <v>6</v>
      </c>
      <c r="L21" t="s">
        <v>32</v>
      </c>
      <c r="M21" s="7">
        <f>Sheet1[[#This Row],[Quantity]]*Sheet1[[#This Row],[Unit Price]]*(1 - Sheet1[[#This Row],[Discount]])</f>
        <v>104</v>
      </c>
      <c r="N21" s="7">
        <f>Sheet1[[#This Row],[Sales]]-Sheet1[[#This Row],[Profit]]</f>
        <v>98</v>
      </c>
    </row>
    <row r="22" spans="1:14" x14ac:dyDescent="0.2">
      <c r="A22">
        <v>1491</v>
      </c>
      <c r="B22" s="8">
        <v>44582</v>
      </c>
      <c r="C22" t="s">
        <v>13</v>
      </c>
      <c r="D22" t="s">
        <v>23</v>
      </c>
      <c r="E22" t="s">
        <v>25</v>
      </c>
      <c r="F22" t="s">
        <v>30</v>
      </c>
      <c r="G22">
        <v>1</v>
      </c>
      <c r="H22">
        <v>153</v>
      </c>
      <c r="I22">
        <v>0.2</v>
      </c>
      <c r="J22" s="7">
        <f>Sheet1[[#This Row],[Quantity]]*Sheet1[[#This Row],[Unit Price]]*(1-Sheet1[[#This Row],[Discount]])</f>
        <v>122.4</v>
      </c>
      <c r="K22">
        <v>29</v>
      </c>
      <c r="L22" t="s">
        <v>33</v>
      </c>
      <c r="M22" s="7">
        <f>Sheet1[[#This Row],[Quantity]]*Sheet1[[#This Row],[Unit Price]]*(1 - Sheet1[[#This Row],[Discount]])</f>
        <v>122.4</v>
      </c>
      <c r="N22" s="7">
        <f>Sheet1[[#This Row],[Sales]]-Sheet1[[#This Row],[Profit]]</f>
        <v>93.4</v>
      </c>
    </row>
    <row r="23" spans="1:14" x14ac:dyDescent="0.2">
      <c r="A23">
        <v>1413</v>
      </c>
      <c r="B23" s="8">
        <v>44583</v>
      </c>
      <c r="C23" t="s">
        <v>16</v>
      </c>
      <c r="D23" t="s">
        <v>20</v>
      </c>
      <c r="E23" t="s">
        <v>26</v>
      </c>
      <c r="F23" t="s">
        <v>29</v>
      </c>
      <c r="G23">
        <v>5</v>
      </c>
      <c r="H23">
        <v>386</v>
      </c>
      <c r="I23">
        <v>0.1</v>
      </c>
      <c r="J23" s="7">
        <f>Sheet1[[#This Row],[Quantity]]*Sheet1[[#This Row],[Unit Price]]*(1-Sheet1[[#This Row],[Discount]])</f>
        <v>1737</v>
      </c>
      <c r="K23">
        <v>175</v>
      </c>
      <c r="L23" t="s">
        <v>32</v>
      </c>
      <c r="M23" s="7">
        <f>Sheet1[[#This Row],[Quantity]]*Sheet1[[#This Row],[Unit Price]]*(1 - Sheet1[[#This Row],[Discount]])</f>
        <v>1737</v>
      </c>
      <c r="N23" s="7">
        <f>Sheet1[[#This Row],[Sales]]-Sheet1[[#This Row],[Profit]]</f>
        <v>1562</v>
      </c>
    </row>
    <row r="24" spans="1:14" x14ac:dyDescent="0.2">
      <c r="A24">
        <v>1805</v>
      </c>
      <c r="B24" s="8">
        <v>44584</v>
      </c>
      <c r="C24" t="s">
        <v>13</v>
      </c>
      <c r="D24" t="s">
        <v>23</v>
      </c>
      <c r="E24" t="s">
        <v>24</v>
      </c>
      <c r="F24" t="s">
        <v>31</v>
      </c>
      <c r="G24">
        <v>9</v>
      </c>
      <c r="H24">
        <v>98</v>
      </c>
      <c r="I24">
        <v>0.3</v>
      </c>
      <c r="J24" s="7">
        <f>Sheet1[[#This Row],[Quantity]]*Sheet1[[#This Row],[Unit Price]]*(1-Sheet1[[#This Row],[Discount]])</f>
        <v>617.4</v>
      </c>
      <c r="K24">
        <v>179</v>
      </c>
      <c r="L24" t="s">
        <v>33</v>
      </c>
      <c r="M24" s="7">
        <f>Sheet1[[#This Row],[Quantity]]*Sheet1[[#This Row],[Unit Price]]*(1 - Sheet1[[#This Row],[Discount]])</f>
        <v>617.4</v>
      </c>
      <c r="N24" s="7">
        <f>Sheet1[[#This Row],[Sales]]-Sheet1[[#This Row],[Profit]]</f>
        <v>438.4</v>
      </c>
    </row>
    <row r="25" spans="1:14" x14ac:dyDescent="0.2">
      <c r="A25">
        <v>1191</v>
      </c>
      <c r="B25" s="8">
        <v>44585</v>
      </c>
      <c r="C25" t="s">
        <v>18</v>
      </c>
      <c r="D25" t="s">
        <v>20</v>
      </c>
      <c r="E25" t="s">
        <v>25</v>
      </c>
      <c r="F25" t="s">
        <v>29</v>
      </c>
      <c r="G25">
        <v>7</v>
      </c>
      <c r="H25">
        <v>454</v>
      </c>
      <c r="I25">
        <v>0.3</v>
      </c>
      <c r="J25" s="7">
        <f>Sheet1[[#This Row],[Quantity]]*Sheet1[[#This Row],[Unit Price]]*(1-Sheet1[[#This Row],[Discount]])</f>
        <v>2224.6</v>
      </c>
      <c r="K25">
        <v>293</v>
      </c>
      <c r="L25" t="s">
        <v>32</v>
      </c>
      <c r="M25" s="7">
        <f>Sheet1[[#This Row],[Quantity]]*Sheet1[[#This Row],[Unit Price]]*(1 - Sheet1[[#This Row],[Discount]])</f>
        <v>2224.6</v>
      </c>
      <c r="N25" s="7">
        <f>Sheet1[[#This Row],[Sales]]-Sheet1[[#This Row],[Profit]]</f>
        <v>1931.6</v>
      </c>
    </row>
    <row r="26" spans="1:14" x14ac:dyDescent="0.2">
      <c r="A26">
        <v>1955</v>
      </c>
      <c r="B26" s="8">
        <v>44586</v>
      </c>
      <c r="C26" t="s">
        <v>16</v>
      </c>
      <c r="D26" t="s">
        <v>20</v>
      </c>
      <c r="E26" t="s">
        <v>26</v>
      </c>
      <c r="F26" t="s">
        <v>31</v>
      </c>
      <c r="G26">
        <v>5</v>
      </c>
      <c r="H26">
        <v>478</v>
      </c>
      <c r="I26">
        <v>0.1</v>
      </c>
      <c r="J26" s="7">
        <f>Sheet1[[#This Row],[Quantity]]*Sheet1[[#This Row],[Unit Price]]*(1-Sheet1[[#This Row],[Discount]])</f>
        <v>2151</v>
      </c>
      <c r="K26">
        <v>188</v>
      </c>
      <c r="L26" t="s">
        <v>32</v>
      </c>
      <c r="M26" s="7">
        <f>Sheet1[[#This Row],[Quantity]]*Sheet1[[#This Row],[Unit Price]]*(1 - Sheet1[[#This Row],[Discount]])</f>
        <v>2151</v>
      </c>
      <c r="N26" s="7">
        <f>Sheet1[[#This Row],[Sales]]-Sheet1[[#This Row],[Profit]]</f>
        <v>1963</v>
      </c>
    </row>
    <row r="27" spans="1:14" x14ac:dyDescent="0.2">
      <c r="A27">
        <v>1276</v>
      </c>
      <c r="B27" s="8">
        <v>44587</v>
      </c>
      <c r="C27" t="s">
        <v>17</v>
      </c>
      <c r="D27" t="s">
        <v>22</v>
      </c>
      <c r="E27" t="s">
        <v>25</v>
      </c>
      <c r="F27" t="s">
        <v>31</v>
      </c>
      <c r="G27">
        <v>6</v>
      </c>
      <c r="H27">
        <v>77</v>
      </c>
      <c r="I27">
        <v>0.1</v>
      </c>
      <c r="J27" s="7">
        <f>Sheet1[[#This Row],[Quantity]]*Sheet1[[#This Row],[Unit Price]]*(1-Sheet1[[#This Row],[Discount]])</f>
        <v>415.8</v>
      </c>
      <c r="K27">
        <v>58</v>
      </c>
      <c r="L27" t="s">
        <v>32</v>
      </c>
      <c r="M27" s="7">
        <f>Sheet1[[#This Row],[Quantity]]*Sheet1[[#This Row],[Unit Price]]*(1 - Sheet1[[#This Row],[Discount]])</f>
        <v>415.8</v>
      </c>
      <c r="N27" s="7">
        <f>Sheet1[[#This Row],[Sales]]-Sheet1[[#This Row],[Profit]]</f>
        <v>357.8</v>
      </c>
    </row>
    <row r="28" spans="1:14" x14ac:dyDescent="0.2">
      <c r="A28">
        <v>1160</v>
      </c>
      <c r="B28" s="8">
        <v>44588</v>
      </c>
      <c r="C28" t="s">
        <v>16</v>
      </c>
      <c r="D28" t="s">
        <v>20</v>
      </c>
      <c r="E28" t="s">
        <v>26</v>
      </c>
      <c r="F28" t="s">
        <v>28</v>
      </c>
      <c r="G28">
        <v>5</v>
      </c>
      <c r="H28">
        <v>490</v>
      </c>
      <c r="I28">
        <v>0.1</v>
      </c>
      <c r="J28" s="7">
        <f>Sheet1[[#This Row],[Quantity]]*Sheet1[[#This Row],[Unit Price]]*(1-Sheet1[[#This Row],[Discount]])</f>
        <v>2205</v>
      </c>
      <c r="K28">
        <v>659</v>
      </c>
      <c r="L28" t="s">
        <v>32</v>
      </c>
      <c r="M28" s="7">
        <f>Sheet1[[#This Row],[Quantity]]*Sheet1[[#This Row],[Unit Price]]*(1 - Sheet1[[#This Row],[Discount]])</f>
        <v>2205</v>
      </c>
      <c r="N28" s="7">
        <f>Sheet1[[#This Row],[Sales]]-Sheet1[[#This Row],[Profit]]</f>
        <v>1546</v>
      </c>
    </row>
    <row r="29" spans="1:14" x14ac:dyDescent="0.2">
      <c r="A29">
        <v>1459</v>
      </c>
      <c r="B29" s="8">
        <v>44589</v>
      </c>
      <c r="C29" t="s">
        <v>13</v>
      </c>
      <c r="D29" t="s">
        <v>23</v>
      </c>
      <c r="E29" t="s">
        <v>24</v>
      </c>
      <c r="F29" t="s">
        <v>30</v>
      </c>
      <c r="G29">
        <v>9</v>
      </c>
      <c r="H29">
        <v>45</v>
      </c>
      <c r="I29">
        <v>0.1</v>
      </c>
      <c r="J29" s="7">
        <f>Sheet1[[#This Row],[Quantity]]*Sheet1[[#This Row],[Unit Price]]*(1-Sheet1[[#This Row],[Discount]])</f>
        <v>364.5</v>
      </c>
      <c r="K29">
        <v>121</v>
      </c>
      <c r="L29" t="s">
        <v>32</v>
      </c>
      <c r="M29" s="7">
        <f>Sheet1[[#This Row],[Quantity]]*Sheet1[[#This Row],[Unit Price]]*(1 - Sheet1[[#This Row],[Discount]])</f>
        <v>364.5</v>
      </c>
      <c r="N29" s="7">
        <f>Sheet1[[#This Row],[Sales]]-Sheet1[[#This Row],[Profit]]</f>
        <v>243.5</v>
      </c>
    </row>
    <row r="30" spans="1:14" x14ac:dyDescent="0.2">
      <c r="A30">
        <v>1313</v>
      </c>
      <c r="B30" s="8">
        <v>44590</v>
      </c>
      <c r="C30" t="s">
        <v>17</v>
      </c>
      <c r="D30" t="s">
        <v>21</v>
      </c>
      <c r="E30" t="s">
        <v>24</v>
      </c>
      <c r="F30" t="s">
        <v>30</v>
      </c>
      <c r="G30">
        <v>6</v>
      </c>
      <c r="H30">
        <v>449</v>
      </c>
      <c r="I30">
        <v>0</v>
      </c>
      <c r="J30" s="7">
        <f>Sheet1[[#This Row],[Quantity]]*Sheet1[[#This Row],[Unit Price]]*(1-Sheet1[[#This Row],[Discount]])</f>
        <v>2694</v>
      </c>
      <c r="K30">
        <v>383</v>
      </c>
      <c r="L30" t="s">
        <v>32</v>
      </c>
      <c r="M30" s="7">
        <f>Sheet1[[#This Row],[Quantity]]*Sheet1[[#This Row],[Unit Price]]*(1 - Sheet1[[#This Row],[Discount]])</f>
        <v>2694</v>
      </c>
      <c r="N30" s="7">
        <f>Sheet1[[#This Row],[Sales]]-Sheet1[[#This Row],[Profit]]</f>
        <v>2311</v>
      </c>
    </row>
    <row r="31" spans="1:14" x14ac:dyDescent="0.2">
      <c r="A31">
        <v>1021</v>
      </c>
      <c r="B31" s="8">
        <v>44591</v>
      </c>
      <c r="C31" t="s">
        <v>13</v>
      </c>
      <c r="D31" t="s">
        <v>23</v>
      </c>
      <c r="E31" t="s">
        <v>24</v>
      </c>
      <c r="F31" t="s">
        <v>29</v>
      </c>
      <c r="G31">
        <v>8</v>
      </c>
      <c r="H31">
        <v>245</v>
      </c>
      <c r="I31">
        <v>0.3</v>
      </c>
      <c r="J31" s="7">
        <f>Sheet1[[#This Row],[Quantity]]*Sheet1[[#This Row],[Unit Price]]*(1-Sheet1[[#This Row],[Discount]])</f>
        <v>1372</v>
      </c>
      <c r="K31">
        <v>222</v>
      </c>
      <c r="L31" t="s">
        <v>32</v>
      </c>
      <c r="M31" s="7">
        <f>Sheet1[[#This Row],[Quantity]]*Sheet1[[#This Row],[Unit Price]]*(1 - Sheet1[[#This Row],[Discount]])</f>
        <v>1372</v>
      </c>
      <c r="N31" s="7">
        <f>Sheet1[[#This Row],[Sales]]-Sheet1[[#This Row],[Profit]]</f>
        <v>1150</v>
      </c>
    </row>
    <row r="32" spans="1:14" x14ac:dyDescent="0.2">
      <c r="A32">
        <v>1252</v>
      </c>
      <c r="B32" s="8">
        <v>44592</v>
      </c>
      <c r="C32" t="s">
        <v>15</v>
      </c>
      <c r="D32" t="s">
        <v>21</v>
      </c>
      <c r="E32" t="s">
        <v>24</v>
      </c>
      <c r="F32" t="s">
        <v>30</v>
      </c>
      <c r="G32">
        <v>2</v>
      </c>
      <c r="H32">
        <v>304</v>
      </c>
      <c r="I32">
        <v>0.1</v>
      </c>
      <c r="J32" s="7">
        <f>Sheet1[[#This Row],[Quantity]]*Sheet1[[#This Row],[Unit Price]]*(1-Sheet1[[#This Row],[Discount]])</f>
        <v>547.20000000000005</v>
      </c>
      <c r="K32">
        <v>140</v>
      </c>
      <c r="L32" t="s">
        <v>32</v>
      </c>
      <c r="M32" s="7">
        <f>Sheet1[[#This Row],[Quantity]]*Sheet1[[#This Row],[Unit Price]]*(1 - Sheet1[[#This Row],[Discount]])</f>
        <v>547.20000000000005</v>
      </c>
      <c r="N32" s="7">
        <f>Sheet1[[#This Row],[Sales]]-Sheet1[[#This Row],[Profit]]</f>
        <v>407.20000000000005</v>
      </c>
    </row>
    <row r="33" spans="1:14" x14ac:dyDescent="0.2">
      <c r="A33">
        <v>1747</v>
      </c>
      <c r="B33" s="8">
        <v>44593</v>
      </c>
      <c r="C33" t="s">
        <v>15</v>
      </c>
      <c r="D33" t="s">
        <v>21</v>
      </c>
      <c r="E33" t="s">
        <v>25</v>
      </c>
      <c r="F33" t="s">
        <v>27</v>
      </c>
      <c r="G33">
        <v>9</v>
      </c>
      <c r="H33">
        <v>23</v>
      </c>
      <c r="I33">
        <v>0</v>
      </c>
      <c r="J33" s="7">
        <f>Sheet1[[#This Row],[Quantity]]*Sheet1[[#This Row],[Unit Price]]*(1-Sheet1[[#This Row],[Discount]])</f>
        <v>207</v>
      </c>
      <c r="K33">
        <v>56</v>
      </c>
      <c r="L33" t="s">
        <v>32</v>
      </c>
      <c r="M33" s="7">
        <f>Sheet1[[#This Row],[Quantity]]*Sheet1[[#This Row],[Unit Price]]*(1 - Sheet1[[#This Row],[Discount]])</f>
        <v>207</v>
      </c>
      <c r="N33" s="7">
        <f>Sheet1[[#This Row],[Sales]]-Sheet1[[#This Row],[Profit]]</f>
        <v>151</v>
      </c>
    </row>
    <row r="34" spans="1:14" x14ac:dyDescent="0.2">
      <c r="A34">
        <v>1856</v>
      </c>
      <c r="B34" s="8">
        <v>44594</v>
      </c>
      <c r="C34" t="s">
        <v>17</v>
      </c>
      <c r="D34" t="s">
        <v>23</v>
      </c>
      <c r="E34" t="s">
        <v>26</v>
      </c>
      <c r="F34" t="s">
        <v>30</v>
      </c>
      <c r="G34">
        <v>5</v>
      </c>
      <c r="H34">
        <v>484</v>
      </c>
      <c r="I34">
        <v>0.3</v>
      </c>
      <c r="J34" s="7">
        <f>Sheet1[[#This Row],[Quantity]]*Sheet1[[#This Row],[Unit Price]]*(1-Sheet1[[#This Row],[Discount]])</f>
        <v>1694</v>
      </c>
      <c r="K34">
        <v>336</v>
      </c>
      <c r="L34" t="s">
        <v>32</v>
      </c>
      <c r="M34" s="7">
        <f>Sheet1[[#This Row],[Quantity]]*Sheet1[[#This Row],[Unit Price]]*(1 - Sheet1[[#This Row],[Discount]])</f>
        <v>1694</v>
      </c>
      <c r="N34" s="7">
        <f>Sheet1[[#This Row],[Sales]]-Sheet1[[#This Row],[Profit]]</f>
        <v>1358</v>
      </c>
    </row>
    <row r="35" spans="1:14" x14ac:dyDescent="0.2">
      <c r="A35">
        <v>1560</v>
      </c>
      <c r="B35" s="8">
        <v>44595</v>
      </c>
      <c r="C35" t="s">
        <v>18</v>
      </c>
      <c r="D35" t="s">
        <v>23</v>
      </c>
      <c r="E35" t="s">
        <v>26</v>
      </c>
      <c r="F35" t="s">
        <v>29</v>
      </c>
      <c r="G35">
        <v>7</v>
      </c>
      <c r="H35">
        <v>118</v>
      </c>
      <c r="I35">
        <v>0.1</v>
      </c>
      <c r="J35" s="7">
        <f>Sheet1[[#This Row],[Quantity]]*Sheet1[[#This Row],[Unit Price]]*(1-Sheet1[[#This Row],[Discount]])</f>
        <v>743.4</v>
      </c>
      <c r="K35">
        <v>110</v>
      </c>
      <c r="L35" t="s">
        <v>32</v>
      </c>
      <c r="M35" s="7">
        <f>Sheet1[[#This Row],[Quantity]]*Sheet1[[#This Row],[Unit Price]]*(1 - Sheet1[[#This Row],[Discount]])</f>
        <v>743.4</v>
      </c>
      <c r="N35" s="7">
        <f>Sheet1[[#This Row],[Sales]]-Sheet1[[#This Row],[Profit]]</f>
        <v>633.4</v>
      </c>
    </row>
    <row r="36" spans="1:14" x14ac:dyDescent="0.2">
      <c r="A36">
        <v>1474</v>
      </c>
      <c r="B36" s="8">
        <v>44596</v>
      </c>
      <c r="C36" t="s">
        <v>15</v>
      </c>
      <c r="D36" t="s">
        <v>23</v>
      </c>
      <c r="E36" t="s">
        <v>25</v>
      </c>
      <c r="F36" t="s">
        <v>30</v>
      </c>
      <c r="G36">
        <v>1</v>
      </c>
      <c r="H36">
        <v>416</v>
      </c>
      <c r="I36">
        <v>0</v>
      </c>
      <c r="J36" s="7">
        <f>Sheet1[[#This Row],[Quantity]]*Sheet1[[#This Row],[Unit Price]]*(1-Sheet1[[#This Row],[Discount]])</f>
        <v>416</v>
      </c>
      <c r="K36">
        <v>64</v>
      </c>
      <c r="L36" t="s">
        <v>32</v>
      </c>
      <c r="M36" s="7">
        <f>Sheet1[[#This Row],[Quantity]]*Sheet1[[#This Row],[Unit Price]]*(1 - Sheet1[[#This Row],[Discount]])</f>
        <v>416</v>
      </c>
      <c r="N36" s="7">
        <f>Sheet1[[#This Row],[Sales]]-Sheet1[[#This Row],[Profit]]</f>
        <v>352</v>
      </c>
    </row>
    <row r="37" spans="1:14" x14ac:dyDescent="0.2">
      <c r="A37">
        <v>1058</v>
      </c>
      <c r="B37" s="8">
        <v>44597</v>
      </c>
      <c r="C37" t="s">
        <v>16</v>
      </c>
      <c r="D37" t="s">
        <v>23</v>
      </c>
      <c r="E37" t="s">
        <v>26</v>
      </c>
      <c r="F37" t="s">
        <v>27</v>
      </c>
      <c r="G37">
        <v>5</v>
      </c>
      <c r="H37">
        <v>58</v>
      </c>
      <c r="I37">
        <v>0.2</v>
      </c>
      <c r="J37" s="7">
        <f>Sheet1[[#This Row],[Quantity]]*Sheet1[[#This Row],[Unit Price]]*(1-Sheet1[[#This Row],[Discount]])</f>
        <v>232</v>
      </c>
      <c r="K37">
        <v>52</v>
      </c>
      <c r="L37" t="s">
        <v>32</v>
      </c>
      <c r="M37" s="7">
        <f>Sheet1[[#This Row],[Quantity]]*Sheet1[[#This Row],[Unit Price]]*(1 - Sheet1[[#This Row],[Discount]])</f>
        <v>232</v>
      </c>
      <c r="N37" s="7">
        <f>Sheet1[[#This Row],[Sales]]-Sheet1[[#This Row],[Profit]]</f>
        <v>180</v>
      </c>
    </row>
    <row r="38" spans="1:14" x14ac:dyDescent="0.2">
      <c r="A38">
        <v>1510</v>
      </c>
      <c r="B38" s="8">
        <v>44598</v>
      </c>
      <c r="C38" t="s">
        <v>13</v>
      </c>
      <c r="D38" t="s">
        <v>22</v>
      </c>
      <c r="E38" t="s">
        <v>24</v>
      </c>
      <c r="F38" t="s">
        <v>28</v>
      </c>
      <c r="G38">
        <v>2</v>
      </c>
      <c r="H38">
        <v>290</v>
      </c>
      <c r="I38">
        <v>0</v>
      </c>
      <c r="J38" s="7">
        <f>Sheet1[[#This Row],[Quantity]]*Sheet1[[#This Row],[Unit Price]]*(1-Sheet1[[#This Row],[Discount]])</f>
        <v>580</v>
      </c>
      <c r="K38">
        <v>29</v>
      </c>
      <c r="L38" t="s">
        <v>33</v>
      </c>
      <c r="M38" s="7">
        <f>Sheet1[[#This Row],[Quantity]]*Sheet1[[#This Row],[Unit Price]]*(1 - Sheet1[[#This Row],[Discount]])</f>
        <v>580</v>
      </c>
      <c r="N38" s="7">
        <f>Sheet1[[#This Row],[Sales]]-Sheet1[[#This Row],[Profit]]</f>
        <v>551</v>
      </c>
    </row>
    <row r="39" spans="1:14" x14ac:dyDescent="0.2">
      <c r="A39">
        <v>1475</v>
      </c>
      <c r="B39" s="8">
        <v>44599</v>
      </c>
      <c r="C39" t="s">
        <v>15</v>
      </c>
      <c r="D39" t="s">
        <v>21</v>
      </c>
      <c r="E39" t="s">
        <v>24</v>
      </c>
      <c r="F39" t="s">
        <v>28</v>
      </c>
      <c r="G39">
        <v>1</v>
      </c>
      <c r="H39">
        <v>304</v>
      </c>
      <c r="I39">
        <v>0.3</v>
      </c>
      <c r="J39" s="7">
        <f>Sheet1[[#This Row],[Quantity]]*Sheet1[[#This Row],[Unit Price]]*(1-Sheet1[[#This Row],[Discount]])</f>
        <v>212.79999999999998</v>
      </c>
      <c r="K39">
        <v>30</v>
      </c>
      <c r="L39" t="s">
        <v>32</v>
      </c>
      <c r="M39" s="7">
        <f>Sheet1[[#This Row],[Quantity]]*Sheet1[[#This Row],[Unit Price]]*(1 - Sheet1[[#This Row],[Discount]])</f>
        <v>212.79999999999998</v>
      </c>
      <c r="N39" s="7">
        <f>Sheet1[[#This Row],[Sales]]-Sheet1[[#This Row],[Profit]]</f>
        <v>182.79999999999998</v>
      </c>
    </row>
    <row r="40" spans="1:14" x14ac:dyDescent="0.2">
      <c r="A40">
        <v>1699</v>
      </c>
      <c r="B40" s="8">
        <v>44600</v>
      </c>
      <c r="C40" t="s">
        <v>18</v>
      </c>
      <c r="D40" t="s">
        <v>23</v>
      </c>
      <c r="E40" t="s">
        <v>25</v>
      </c>
      <c r="F40" t="s">
        <v>28</v>
      </c>
      <c r="G40">
        <v>3</v>
      </c>
      <c r="H40">
        <v>176</v>
      </c>
      <c r="I40">
        <v>0.1</v>
      </c>
      <c r="J40" s="7">
        <f>Sheet1[[#This Row],[Quantity]]*Sheet1[[#This Row],[Unit Price]]*(1-Sheet1[[#This Row],[Discount]])</f>
        <v>475.2</v>
      </c>
      <c r="K40">
        <v>118</v>
      </c>
      <c r="L40" t="s">
        <v>32</v>
      </c>
      <c r="M40" s="7">
        <f>Sheet1[[#This Row],[Quantity]]*Sheet1[[#This Row],[Unit Price]]*(1 - Sheet1[[#This Row],[Discount]])</f>
        <v>475.2</v>
      </c>
      <c r="N40" s="7">
        <f>Sheet1[[#This Row],[Sales]]-Sheet1[[#This Row],[Profit]]</f>
        <v>357.2</v>
      </c>
    </row>
    <row r="41" spans="1:14" x14ac:dyDescent="0.2">
      <c r="A41">
        <v>1975</v>
      </c>
      <c r="B41" s="8">
        <v>44601</v>
      </c>
      <c r="C41" t="s">
        <v>17</v>
      </c>
      <c r="D41" t="s">
        <v>23</v>
      </c>
      <c r="E41" t="s">
        <v>26</v>
      </c>
      <c r="F41" t="s">
        <v>28</v>
      </c>
      <c r="G41">
        <v>5</v>
      </c>
      <c r="H41">
        <v>94</v>
      </c>
      <c r="I41">
        <v>0.2</v>
      </c>
      <c r="J41" s="7">
        <f>Sheet1[[#This Row],[Quantity]]*Sheet1[[#This Row],[Unit Price]]*(1-Sheet1[[#This Row],[Discount]])</f>
        <v>376</v>
      </c>
      <c r="K41">
        <v>28</v>
      </c>
      <c r="L41" t="s">
        <v>32</v>
      </c>
      <c r="M41" s="7">
        <f>Sheet1[[#This Row],[Quantity]]*Sheet1[[#This Row],[Unit Price]]*(1 - Sheet1[[#This Row],[Discount]])</f>
        <v>376</v>
      </c>
      <c r="N41" s="7">
        <f>Sheet1[[#This Row],[Sales]]-Sheet1[[#This Row],[Profit]]</f>
        <v>348</v>
      </c>
    </row>
    <row r="42" spans="1:14" x14ac:dyDescent="0.2">
      <c r="A42">
        <v>1782</v>
      </c>
      <c r="B42" s="8">
        <v>44602</v>
      </c>
      <c r="C42" t="s">
        <v>17</v>
      </c>
      <c r="D42" t="s">
        <v>23</v>
      </c>
      <c r="E42" t="s">
        <v>25</v>
      </c>
      <c r="F42" t="s">
        <v>31</v>
      </c>
      <c r="G42">
        <v>4</v>
      </c>
      <c r="H42">
        <v>391</v>
      </c>
      <c r="I42">
        <v>0.1</v>
      </c>
      <c r="J42" s="7">
        <f>Sheet1[[#This Row],[Quantity]]*Sheet1[[#This Row],[Unit Price]]*(1-Sheet1[[#This Row],[Discount]])</f>
        <v>1407.6000000000001</v>
      </c>
      <c r="K42">
        <v>308</v>
      </c>
      <c r="L42" t="s">
        <v>32</v>
      </c>
      <c r="M42" s="7">
        <f>Sheet1[[#This Row],[Quantity]]*Sheet1[[#This Row],[Unit Price]]*(1 - Sheet1[[#This Row],[Discount]])</f>
        <v>1407.6000000000001</v>
      </c>
      <c r="N42" s="7">
        <f>Sheet1[[#This Row],[Sales]]-Sheet1[[#This Row],[Profit]]</f>
        <v>1099.6000000000001</v>
      </c>
    </row>
    <row r="43" spans="1:14" x14ac:dyDescent="0.2">
      <c r="A43">
        <v>1189</v>
      </c>
      <c r="B43" s="8">
        <v>44603</v>
      </c>
      <c r="C43" t="s">
        <v>14</v>
      </c>
      <c r="D43" t="s">
        <v>22</v>
      </c>
      <c r="E43" t="s">
        <v>26</v>
      </c>
      <c r="F43" t="s">
        <v>31</v>
      </c>
      <c r="G43">
        <v>3</v>
      </c>
      <c r="H43">
        <v>307</v>
      </c>
      <c r="I43">
        <v>0.1</v>
      </c>
      <c r="J43" s="7">
        <f>Sheet1[[#This Row],[Quantity]]*Sheet1[[#This Row],[Unit Price]]*(1-Sheet1[[#This Row],[Discount]])</f>
        <v>828.9</v>
      </c>
      <c r="K43">
        <v>157</v>
      </c>
      <c r="L43" t="s">
        <v>32</v>
      </c>
      <c r="M43" s="7">
        <f>Sheet1[[#This Row],[Quantity]]*Sheet1[[#This Row],[Unit Price]]*(1 - Sheet1[[#This Row],[Discount]])</f>
        <v>828.9</v>
      </c>
      <c r="N43" s="7">
        <f>Sheet1[[#This Row],[Sales]]-Sheet1[[#This Row],[Profit]]</f>
        <v>671.9</v>
      </c>
    </row>
    <row r="44" spans="1:14" x14ac:dyDescent="0.2">
      <c r="A44">
        <v>1686</v>
      </c>
      <c r="B44" s="8">
        <v>44604</v>
      </c>
      <c r="C44" t="s">
        <v>16</v>
      </c>
      <c r="D44" t="s">
        <v>23</v>
      </c>
      <c r="E44" t="s">
        <v>25</v>
      </c>
      <c r="F44" t="s">
        <v>29</v>
      </c>
      <c r="G44">
        <v>8</v>
      </c>
      <c r="H44">
        <v>194</v>
      </c>
      <c r="I44">
        <v>0.3</v>
      </c>
      <c r="J44" s="7">
        <f>Sheet1[[#This Row],[Quantity]]*Sheet1[[#This Row],[Unit Price]]*(1-Sheet1[[#This Row],[Discount]])</f>
        <v>1086.3999999999999</v>
      </c>
      <c r="K44">
        <v>72</v>
      </c>
      <c r="L44" t="s">
        <v>32</v>
      </c>
      <c r="M44" s="7">
        <f>Sheet1[[#This Row],[Quantity]]*Sheet1[[#This Row],[Unit Price]]*(1 - Sheet1[[#This Row],[Discount]])</f>
        <v>1086.3999999999999</v>
      </c>
      <c r="N44" s="7">
        <f>Sheet1[[#This Row],[Sales]]-Sheet1[[#This Row],[Profit]]</f>
        <v>1014.3999999999999</v>
      </c>
    </row>
    <row r="45" spans="1:14" x14ac:dyDescent="0.2">
      <c r="A45">
        <v>1562</v>
      </c>
      <c r="B45" s="8">
        <v>44605</v>
      </c>
      <c r="C45" t="s">
        <v>13</v>
      </c>
      <c r="D45" t="s">
        <v>20</v>
      </c>
      <c r="E45" t="s">
        <v>24</v>
      </c>
      <c r="F45" t="s">
        <v>27</v>
      </c>
      <c r="G45">
        <v>1</v>
      </c>
      <c r="H45">
        <v>103</v>
      </c>
      <c r="I45">
        <v>0.1</v>
      </c>
      <c r="J45" s="7">
        <f>Sheet1[[#This Row],[Quantity]]*Sheet1[[#This Row],[Unit Price]]*(1-Sheet1[[#This Row],[Discount]])</f>
        <v>92.7</v>
      </c>
      <c r="K45">
        <v>20</v>
      </c>
      <c r="L45" t="s">
        <v>32</v>
      </c>
      <c r="M45" s="7">
        <f>Sheet1[[#This Row],[Quantity]]*Sheet1[[#This Row],[Unit Price]]*(1 - Sheet1[[#This Row],[Discount]])</f>
        <v>92.7</v>
      </c>
      <c r="N45" s="7">
        <f>Sheet1[[#This Row],[Sales]]-Sheet1[[#This Row],[Profit]]</f>
        <v>72.7</v>
      </c>
    </row>
    <row r="46" spans="1:14" x14ac:dyDescent="0.2">
      <c r="A46">
        <v>1875</v>
      </c>
      <c r="B46" s="8">
        <v>44606</v>
      </c>
      <c r="C46" t="s">
        <v>18</v>
      </c>
      <c r="D46" t="s">
        <v>22</v>
      </c>
      <c r="E46" t="s">
        <v>25</v>
      </c>
      <c r="F46" t="s">
        <v>30</v>
      </c>
      <c r="G46">
        <v>7</v>
      </c>
      <c r="H46">
        <v>41</v>
      </c>
      <c r="I46">
        <v>0.2</v>
      </c>
      <c r="J46" s="7">
        <f>Sheet1[[#This Row],[Quantity]]*Sheet1[[#This Row],[Unit Price]]*(1-Sheet1[[#This Row],[Discount]])</f>
        <v>229.60000000000002</v>
      </c>
      <c r="K46">
        <v>44</v>
      </c>
      <c r="L46" t="s">
        <v>32</v>
      </c>
      <c r="M46" s="7">
        <f>Sheet1[[#This Row],[Quantity]]*Sheet1[[#This Row],[Unit Price]]*(1 - Sheet1[[#This Row],[Discount]])</f>
        <v>229.60000000000002</v>
      </c>
      <c r="N46" s="7">
        <f>Sheet1[[#This Row],[Sales]]-Sheet1[[#This Row],[Profit]]</f>
        <v>185.60000000000002</v>
      </c>
    </row>
    <row r="47" spans="1:14" x14ac:dyDescent="0.2">
      <c r="A47">
        <v>1566</v>
      </c>
      <c r="B47" s="8">
        <v>44607</v>
      </c>
      <c r="C47" t="s">
        <v>15</v>
      </c>
      <c r="D47" t="s">
        <v>23</v>
      </c>
      <c r="E47" t="s">
        <v>25</v>
      </c>
      <c r="F47" t="s">
        <v>29</v>
      </c>
      <c r="G47">
        <v>8</v>
      </c>
      <c r="H47">
        <v>478</v>
      </c>
      <c r="I47">
        <v>0.1</v>
      </c>
      <c r="J47" s="7">
        <f>Sheet1[[#This Row],[Quantity]]*Sheet1[[#This Row],[Unit Price]]*(1-Sheet1[[#This Row],[Discount]])</f>
        <v>3441.6</v>
      </c>
      <c r="K47">
        <v>691</v>
      </c>
      <c r="L47" t="s">
        <v>32</v>
      </c>
      <c r="M47" s="7">
        <f>Sheet1[[#This Row],[Quantity]]*Sheet1[[#This Row],[Unit Price]]*(1 - Sheet1[[#This Row],[Discount]])</f>
        <v>3441.6</v>
      </c>
      <c r="N47" s="7">
        <f>Sheet1[[#This Row],[Sales]]-Sheet1[[#This Row],[Profit]]</f>
        <v>2750.6</v>
      </c>
    </row>
    <row r="48" spans="1:14" x14ac:dyDescent="0.2">
      <c r="A48">
        <v>1243</v>
      </c>
      <c r="B48" s="8">
        <v>44608</v>
      </c>
      <c r="C48" t="s">
        <v>13</v>
      </c>
      <c r="D48" t="s">
        <v>21</v>
      </c>
      <c r="E48" t="s">
        <v>26</v>
      </c>
      <c r="F48" t="s">
        <v>31</v>
      </c>
      <c r="G48">
        <v>3</v>
      </c>
      <c r="H48">
        <v>46</v>
      </c>
      <c r="I48">
        <v>0.2</v>
      </c>
      <c r="J48" s="7">
        <f>Sheet1[[#This Row],[Quantity]]*Sheet1[[#This Row],[Unit Price]]*(1-Sheet1[[#This Row],[Discount]])</f>
        <v>110.4</v>
      </c>
      <c r="K48">
        <v>24</v>
      </c>
      <c r="L48" t="s">
        <v>32</v>
      </c>
      <c r="M48" s="7">
        <f>Sheet1[[#This Row],[Quantity]]*Sheet1[[#This Row],[Unit Price]]*(1 - Sheet1[[#This Row],[Discount]])</f>
        <v>110.4</v>
      </c>
      <c r="N48" s="7">
        <f>Sheet1[[#This Row],[Sales]]-Sheet1[[#This Row],[Profit]]</f>
        <v>86.4</v>
      </c>
    </row>
    <row r="49" spans="1:14" x14ac:dyDescent="0.2">
      <c r="A49">
        <v>1831</v>
      </c>
      <c r="B49" s="8">
        <v>44609</v>
      </c>
      <c r="C49" t="s">
        <v>13</v>
      </c>
      <c r="D49" t="s">
        <v>21</v>
      </c>
      <c r="E49" t="s">
        <v>26</v>
      </c>
      <c r="F49" t="s">
        <v>28</v>
      </c>
      <c r="G49">
        <v>6</v>
      </c>
      <c r="H49">
        <v>214</v>
      </c>
      <c r="I49">
        <v>0.1</v>
      </c>
      <c r="J49" s="7">
        <f>Sheet1[[#This Row],[Quantity]]*Sheet1[[#This Row],[Unit Price]]*(1-Sheet1[[#This Row],[Discount]])</f>
        <v>1155.6000000000001</v>
      </c>
      <c r="K49">
        <v>290</v>
      </c>
      <c r="L49" t="s">
        <v>32</v>
      </c>
      <c r="M49" s="7">
        <f>Sheet1[[#This Row],[Quantity]]*Sheet1[[#This Row],[Unit Price]]*(1 - Sheet1[[#This Row],[Discount]])</f>
        <v>1155.6000000000001</v>
      </c>
      <c r="N49" s="7">
        <f>Sheet1[[#This Row],[Sales]]-Sheet1[[#This Row],[Profit]]</f>
        <v>865.60000000000014</v>
      </c>
    </row>
    <row r="50" spans="1:14" x14ac:dyDescent="0.2">
      <c r="A50">
        <v>1504</v>
      </c>
      <c r="B50" s="8">
        <v>44610</v>
      </c>
      <c r="C50" t="s">
        <v>15</v>
      </c>
      <c r="D50" t="s">
        <v>21</v>
      </c>
      <c r="E50" t="s">
        <v>26</v>
      </c>
      <c r="F50" t="s">
        <v>30</v>
      </c>
      <c r="G50">
        <v>2</v>
      </c>
      <c r="H50">
        <v>356</v>
      </c>
      <c r="I50">
        <v>0.1</v>
      </c>
      <c r="J50" s="7">
        <f>Sheet1[[#This Row],[Quantity]]*Sheet1[[#This Row],[Unit Price]]*(1-Sheet1[[#This Row],[Discount]])</f>
        <v>640.80000000000007</v>
      </c>
      <c r="K50">
        <v>84</v>
      </c>
      <c r="L50" t="s">
        <v>32</v>
      </c>
      <c r="M50" s="7">
        <f>Sheet1[[#This Row],[Quantity]]*Sheet1[[#This Row],[Unit Price]]*(1 - Sheet1[[#This Row],[Discount]])</f>
        <v>640.80000000000007</v>
      </c>
      <c r="N50" s="7">
        <f>Sheet1[[#This Row],[Sales]]-Sheet1[[#This Row],[Profit]]</f>
        <v>556.80000000000007</v>
      </c>
    </row>
    <row r="51" spans="1:14" x14ac:dyDescent="0.2">
      <c r="A51">
        <v>1130</v>
      </c>
      <c r="B51" s="8">
        <v>44611</v>
      </c>
      <c r="C51" t="s">
        <v>18</v>
      </c>
      <c r="D51" t="s">
        <v>22</v>
      </c>
      <c r="E51" t="s">
        <v>24</v>
      </c>
      <c r="F51" t="s">
        <v>27</v>
      </c>
      <c r="G51">
        <v>7</v>
      </c>
      <c r="H51">
        <v>401</v>
      </c>
      <c r="I51">
        <v>0.1</v>
      </c>
      <c r="J51" s="7">
        <f>Sheet1[[#This Row],[Quantity]]*Sheet1[[#This Row],[Unit Price]]*(1-Sheet1[[#This Row],[Discount]])</f>
        <v>2526.3000000000002</v>
      </c>
      <c r="K51">
        <v>647</v>
      </c>
      <c r="L51" t="s">
        <v>32</v>
      </c>
      <c r="M51" s="7">
        <f>Sheet1[[#This Row],[Quantity]]*Sheet1[[#This Row],[Unit Price]]*(1 - Sheet1[[#This Row],[Discount]])</f>
        <v>2526.3000000000002</v>
      </c>
      <c r="N51" s="7">
        <f>Sheet1[[#This Row],[Sales]]-Sheet1[[#This Row],[Profit]]</f>
        <v>1879.3000000000002</v>
      </c>
    </row>
    <row r="52" spans="1:14" x14ac:dyDescent="0.2">
      <c r="A52">
        <v>1484</v>
      </c>
      <c r="B52" s="8">
        <v>44612</v>
      </c>
      <c r="C52" t="s">
        <v>15</v>
      </c>
      <c r="D52" t="s">
        <v>22</v>
      </c>
      <c r="E52" t="s">
        <v>26</v>
      </c>
      <c r="F52" t="s">
        <v>31</v>
      </c>
      <c r="G52">
        <v>8</v>
      </c>
      <c r="H52">
        <v>255</v>
      </c>
      <c r="I52">
        <v>0.3</v>
      </c>
      <c r="J52" s="7">
        <f>Sheet1[[#This Row],[Quantity]]*Sheet1[[#This Row],[Unit Price]]*(1-Sheet1[[#This Row],[Discount]])</f>
        <v>1428</v>
      </c>
      <c r="K52">
        <v>249</v>
      </c>
      <c r="L52" t="s">
        <v>32</v>
      </c>
      <c r="M52" s="7">
        <f>Sheet1[[#This Row],[Quantity]]*Sheet1[[#This Row],[Unit Price]]*(1 - Sheet1[[#This Row],[Discount]])</f>
        <v>1428</v>
      </c>
      <c r="N52" s="7">
        <f>Sheet1[[#This Row],[Sales]]-Sheet1[[#This Row],[Profit]]</f>
        <v>1179</v>
      </c>
    </row>
    <row r="53" spans="1:14" x14ac:dyDescent="0.2">
      <c r="A53">
        <v>1818</v>
      </c>
      <c r="B53" s="8">
        <v>44613</v>
      </c>
      <c r="C53" t="s">
        <v>14</v>
      </c>
      <c r="D53" t="s">
        <v>21</v>
      </c>
      <c r="E53" t="s">
        <v>25</v>
      </c>
      <c r="F53" t="s">
        <v>31</v>
      </c>
      <c r="G53">
        <v>6</v>
      </c>
      <c r="H53">
        <v>459</v>
      </c>
      <c r="I53">
        <v>0</v>
      </c>
      <c r="J53" s="7">
        <f>Sheet1[[#This Row],[Quantity]]*Sheet1[[#This Row],[Unit Price]]*(1-Sheet1[[#This Row],[Discount]])</f>
        <v>2754</v>
      </c>
      <c r="K53">
        <v>191</v>
      </c>
      <c r="L53" t="s">
        <v>32</v>
      </c>
      <c r="M53" s="7">
        <f>Sheet1[[#This Row],[Quantity]]*Sheet1[[#This Row],[Unit Price]]*(1 - Sheet1[[#This Row],[Discount]])</f>
        <v>2754</v>
      </c>
      <c r="N53" s="7">
        <f>Sheet1[[#This Row],[Sales]]-Sheet1[[#This Row],[Profit]]</f>
        <v>2563</v>
      </c>
    </row>
    <row r="54" spans="1:14" x14ac:dyDescent="0.2">
      <c r="A54">
        <v>1646</v>
      </c>
      <c r="B54" s="8">
        <v>44614</v>
      </c>
      <c r="C54" t="s">
        <v>13</v>
      </c>
      <c r="D54" t="s">
        <v>23</v>
      </c>
      <c r="E54" t="s">
        <v>25</v>
      </c>
      <c r="F54" t="s">
        <v>28</v>
      </c>
      <c r="G54">
        <v>6</v>
      </c>
      <c r="H54">
        <v>111</v>
      </c>
      <c r="I54">
        <v>0</v>
      </c>
      <c r="J54" s="7">
        <f>Sheet1[[#This Row],[Quantity]]*Sheet1[[#This Row],[Unit Price]]*(1-Sheet1[[#This Row],[Discount]])</f>
        <v>666</v>
      </c>
      <c r="K54">
        <v>43</v>
      </c>
      <c r="L54" t="s">
        <v>32</v>
      </c>
      <c r="M54" s="7">
        <f>Sheet1[[#This Row],[Quantity]]*Sheet1[[#This Row],[Unit Price]]*(1 - Sheet1[[#This Row],[Discount]])</f>
        <v>666</v>
      </c>
      <c r="N54" s="7">
        <f>Sheet1[[#This Row],[Sales]]-Sheet1[[#This Row],[Profit]]</f>
        <v>623</v>
      </c>
    </row>
    <row r="55" spans="1:14" x14ac:dyDescent="0.2">
      <c r="A55">
        <v>1020</v>
      </c>
      <c r="B55" s="8">
        <v>44615</v>
      </c>
      <c r="C55" t="s">
        <v>19</v>
      </c>
      <c r="D55" t="s">
        <v>22</v>
      </c>
      <c r="E55" t="s">
        <v>26</v>
      </c>
      <c r="F55" t="s">
        <v>27</v>
      </c>
      <c r="G55">
        <v>5</v>
      </c>
      <c r="H55">
        <v>496</v>
      </c>
      <c r="I55">
        <v>0.1</v>
      </c>
      <c r="J55" s="7">
        <f>Sheet1[[#This Row],[Quantity]]*Sheet1[[#This Row],[Unit Price]]*(1-Sheet1[[#This Row],[Discount]])</f>
        <v>2232</v>
      </c>
      <c r="K55">
        <v>331</v>
      </c>
      <c r="L55" t="s">
        <v>32</v>
      </c>
      <c r="M55" s="7">
        <f>Sheet1[[#This Row],[Quantity]]*Sheet1[[#This Row],[Unit Price]]*(1 - Sheet1[[#This Row],[Discount]])</f>
        <v>2232</v>
      </c>
      <c r="N55" s="7">
        <f>Sheet1[[#This Row],[Sales]]-Sheet1[[#This Row],[Profit]]</f>
        <v>1901</v>
      </c>
    </row>
    <row r="56" spans="1:14" x14ac:dyDescent="0.2">
      <c r="A56">
        <v>1840</v>
      </c>
      <c r="B56" s="8">
        <v>44616</v>
      </c>
      <c r="C56" t="s">
        <v>19</v>
      </c>
      <c r="D56" t="s">
        <v>21</v>
      </c>
      <c r="E56" t="s">
        <v>26</v>
      </c>
      <c r="F56" t="s">
        <v>29</v>
      </c>
      <c r="G56">
        <v>8</v>
      </c>
      <c r="H56">
        <v>40</v>
      </c>
      <c r="I56">
        <v>0.3</v>
      </c>
      <c r="J56" s="7">
        <f>Sheet1[[#This Row],[Quantity]]*Sheet1[[#This Row],[Unit Price]]*(1-Sheet1[[#This Row],[Discount]])</f>
        <v>224</v>
      </c>
      <c r="K56">
        <v>55</v>
      </c>
      <c r="L56" t="s">
        <v>32</v>
      </c>
      <c r="M56" s="7">
        <f>Sheet1[[#This Row],[Quantity]]*Sheet1[[#This Row],[Unit Price]]*(1 - Sheet1[[#This Row],[Discount]])</f>
        <v>224</v>
      </c>
      <c r="N56" s="7">
        <f>Sheet1[[#This Row],[Sales]]-Sheet1[[#This Row],[Profit]]</f>
        <v>169</v>
      </c>
    </row>
    <row r="57" spans="1:14" x14ac:dyDescent="0.2">
      <c r="A57">
        <v>1166</v>
      </c>
      <c r="B57" s="8">
        <v>44617</v>
      </c>
      <c r="C57" t="s">
        <v>16</v>
      </c>
      <c r="D57" t="s">
        <v>21</v>
      </c>
      <c r="E57" t="s">
        <v>25</v>
      </c>
      <c r="F57" t="s">
        <v>31</v>
      </c>
      <c r="G57">
        <v>1</v>
      </c>
      <c r="H57">
        <v>322</v>
      </c>
      <c r="I57">
        <v>0.2</v>
      </c>
      <c r="J57" s="7">
        <f>Sheet1[[#This Row],[Quantity]]*Sheet1[[#This Row],[Unit Price]]*(1-Sheet1[[#This Row],[Discount]])</f>
        <v>257.60000000000002</v>
      </c>
      <c r="K57">
        <v>58</v>
      </c>
      <c r="L57" t="s">
        <v>32</v>
      </c>
      <c r="M57" s="7">
        <f>Sheet1[[#This Row],[Quantity]]*Sheet1[[#This Row],[Unit Price]]*(1 - Sheet1[[#This Row],[Discount]])</f>
        <v>257.60000000000002</v>
      </c>
      <c r="N57" s="7">
        <f>Sheet1[[#This Row],[Sales]]-Sheet1[[#This Row],[Profit]]</f>
        <v>199.60000000000002</v>
      </c>
    </row>
    <row r="58" spans="1:14" x14ac:dyDescent="0.2">
      <c r="A58">
        <v>1273</v>
      </c>
      <c r="B58" s="8">
        <v>44618</v>
      </c>
      <c r="C58" t="s">
        <v>17</v>
      </c>
      <c r="D58" t="s">
        <v>23</v>
      </c>
      <c r="E58" t="s">
        <v>24</v>
      </c>
      <c r="F58" t="s">
        <v>28</v>
      </c>
      <c r="G58">
        <v>4</v>
      </c>
      <c r="H58">
        <v>483</v>
      </c>
      <c r="I58">
        <v>0.3</v>
      </c>
      <c r="J58" s="7">
        <f>Sheet1[[#This Row],[Quantity]]*Sheet1[[#This Row],[Unit Price]]*(1-Sheet1[[#This Row],[Discount]])</f>
        <v>1352.3999999999999</v>
      </c>
      <c r="K58">
        <v>334</v>
      </c>
      <c r="L58" t="s">
        <v>33</v>
      </c>
      <c r="M58" s="7">
        <f>Sheet1[[#This Row],[Quantity]]*Sheet1[[#This Row],[Unit Price]]*(1 - Sheet1[[#This Row],[Discount]])</f>
        <v>1352.3999999999999</v>
      </c>
      <c r="N58" s="7">
        <f>Sheet1[[#This Row],[Sales]]-Sheet1[[#This Row],[Profit]]</f>
        <v>1018.3999999999999</v>
      </c>
    </row>
    <row r="59" spans="1:14" x14ac:dyDescent="0.2">
      <c r="A59">
        <v>1387</v>
      </c>
      <c r="B59" s="8">
        <v>44619</v>
      </c>
      <c r="C59" t="s">
        <v>15</v>
      </c>
      <c r="D59" t="s">
        <v>20</v>
      </c>
      <c r="E59" t="s">
        <v>26</v>
      </c>
      <c r="F59" t="s">
        <v>29</v>
      </c>
      <c r="G59">
        <v>4</v>
      </c>
      <c r="H59">
        <v>376</v>
      </c>
      <c r="I59">
        <v>0</v>
      </c>
      <c r="J59" s="7">
        <f>Sheet1[[#This Row],[Quantity]]*Sheet1[[#This Row],[Unit Price]]*(1-Sheet1[[#This Row],[Discount]])</f>
        <v>1504</v>
      </c>
      <c r="K59">
        <v>270</v>
      </c>
      <c r="L59" t="s">
        <v>32</v>
      </c>
      <c r="M59" s="7">
        <f>Sheet1[[#This Row],[Quantity]]*Sheet1[[#This Row],[Unit Price]]*(1 - Sheet1[[#This Row],[Discount]])</f>
        <v>1504</v>
      </c>
      <c r="N59" s="7">
        <f>Sheet1[[#This Row],[Sales]]-Sheet1[[#This Row],[Profit]]</f>
        <v>1234</v>
      </c>
    </row>
    <row r="60" spans="1:14" x14ac:dyDescent="0.2">
      <c r="A60">
        <v>1600</v>
      </c>
      <c r="B60" s="8">
        <v>44620</v>
      </c>
      <c r="C60" t="s">
        <v>15</v>
      </c>
      <c r="D60" t="s">
        <v>22</v>
      </c>
      <c r="E60" t="s">
        <v>26</v>
      </c>
      <c r="F60" t="s">
        <v>27</v>
      </c>
      <c r="G60">
        <v>3</v>
      </c>
      <c r="H60">
        <v>462</v>
      </c>
      <c r="I60">
        <v>0</v>
      </c>
      <c r="J60" s="7">
        <f>Sheet1[[#This Row],[Quantity]]*Sheet1[[#This Row],[Unit Price]]*(1-Sheet1[[#This Row],[Discount]])</f>
        <v>1386</v>
      </c>
      <c r="K60">
        <v>222</v>
      </c>
      <c r="L60" t="s">
        <v>32</v>
      </c>
      <c r="M60" s="7">
        <f>Sheet1[[#This Row],[Quantity]]*Sheet1[[#This Row],[Unit Price]]*(1 - Sheet1[[#This Row],[Discount]])</f>
        <v>1386</v>
      </c>
      <c r="N60" s="7">
        <f>Sheet1[[#This Row],[Sales]]-Sheet1[[#This Row],[Profit]]</f>
        <v>1164</v>
      </c>
    </row>
    <row r="61" spans="1:14" x14ac:dyDescent="0.2">
      <c r="A61">
        <v>1315</v>
      </c>
      <c r="B61" s="8">
        <v>44621</v>
      </c>
      <c r="C61" t="s">
        <v>16</v>
      </c>
      <c r="D61" t="s">
        <v>23</v>
      </c>
      <c r="E61" t="s">
        <v>25</v>
      </c>
      <c r="F61" t="s">
        <v>31</v>
      </c>
      <c r="G61">
        <v>3</v>
      </c>
      <c r="H61">
        <v>103</v>
      </c>
      <c r="I61">
        <v>0.3</v>
      </c>
      <c r="J61" s="7">
        <f>Sheet1[[#This Row],[Quantity]]*Sheet1[[#This Row],[Unit Price]]*(1-Sheet1[[#This Row],[Discount]])</f>
        <v>216.29999999999998</v>
      </c>
      <c r="K61">
        <v>19</v>
      </c>
      <c r="L61" t="s">
        <v>32</v>
      </c>
      <c r="M61" s="7">
        <f>Sheet1[[#This Row],[Quantity]]*Sheet1[[#This Row],[Unit Price]]*(1 - Sheet1[[#This Row],[Discount]])</f>
        <v>216.29999999999998</v>
      </c>
      <c r="N61" s="7">
        <f>Sheet1[[#This Row],[Sales]]-Sheet1[[#This Row],[Profit]]</f>
        <v>197.29999999999998</v>
      </c>
    </row>
    <row r="62" spans="1:14" x14ac:dyDescent="0.2">
      <c r="A62">
        <v>1013</v>
      </c>
      <c r="B62" s="8">
        <v>44622</v>
      </c>
      <c r="C62" t="s">
        <v>16</v>
      </c>
      <c r="D62" t="s">
        <v>21</v>
      </c>
      <c r="E62" t="s">
        <v>26</v>
      </c>
      <c r="F62" t="s">
        <v>29</v>
      </c>
      <c r="G62">
        <v>4</v>
      </c>
      <c r="H62">
        <v>281</v>
      </c>
      <c r="I62">
        <v>0.3</v>
      </c>
      <c r="J62" s="7">
        <f>Sheet1[[#This Row],[Quantity]]*Sheet1[[#This Row],[Unit Price]]*(1-Sheet1[[#This Row],[Discount]])</f>
        <v>786.8</v>
      </c>
      <c r="K62">
        <v>104</v>
      </c>
      <c r="L62" t="s">
        <v>32</v>
      </c>
      <c r="M62" s="7">
        <f>Sheet1[[#This Row],[Quantity]]*Sheet1[[#This Row],[Unit Price]]*(1 - Sheet1[[#This Row],[Discount]])</f>
        <v>786.8</v>
      </c>
      <c r="N62" s="7">
        <f>Sheet1[[#This Row],[Sales]]-Sheet1[[#This Row],[Profit]]</f>
        <v>682.8</v>
      </c>
    </row>
    <row r="63" spans="1:14" x14ac:dyDescent="0.2">
      <c r="A63">
        <v>1241</v>
      </c>
      <c r="B63" s="8">
        <v>44623</v>
      </c>
      <c r="C63" t="s">
        <v>16</v>
      </c>
      <c r="D63" t="s">
        <v>21</v>
      </c>
      <c r="E63" t="s">
        <v>24</v>
      </c>
      <c r="F63" t="s">
        <v>29</v>
      </c>
      <c r="G63">
        <v>1</v>
      </c>
      <c r="H63">
        <v>166</v>
      </c>
      <c r="I63">
        <v>0</v>
      </c>
      <c r="J63" s="7">
        <f>Sheet1[[#This Row],[Quantity]]*Sheet1[[#This Row],[Unit Price]]*(1-Sheet1[[#This Row],[Discount]])</f>
        <v>166</v>
      </c>
      <c r="K63">
        <v>26</v>
      </c>
      <c r="L63" t="s">
        <v>32</v>
      </c>
      <c r="M63" s="7">
        <f>Sheet1[[#This Row],[Quantity]]*Sheet1[[#This Row],[Unit Price]]*(1 - Sheet1[[#This Row],[Discount]])</f>
        <v>166</v>
      </c>
      <c r="N63" s="7">
        <f>Sheet1[[#This Row],[Sales]]-Sheet1[[#This Row],[Profit]]</f>
        <v>140</v>
      </c>
    </row>
    <row r="64" spans="1:14" x14ac:dyDescent="0.2">
      <c r="A64">
        <v>1776</v>
      </c>
      <c r="B64" s="8">
        <v>44624</v>
      </c>
      <c r="C64" t="s">
        <v>13</v>
      </c>
      <c r="D64" t="s">
        <v>23</v>
      </c>
      <c r="E64" t="s">
        <v>25</v>
      </c>
      <c r="F64" t="s">
        <v>29</v>
      </c>
      <c r="G64">
        <v>2</v>
      </c>
      <c r="H64">
        <v>460</v>
      </c>
      <c r="I64">
        <v>0.2</v>
      </c>
      <c r="J64" s="7">
        <f>Sheet1[[#This Row],[Quantity]]*Sheet1[[#This Row],[Unit Price]]*(1-Sheet1[[#This Row],[Discount]])</f>
        <v>736</v>
      </c>
      <c r="K64">
        <v>53</v>
      </c>
      <c r="L64" t="s">
        <v>33</v>
      </c>
      <c r="M64" s="7">
        <f>Sheet1[[#This Row],[Quantity]]*Sheet1[[#This Row],[Unit Price]]*(1 - Sheet1[[#This Row],[Discount]])</f>
        <v>736</v>
      </c>
      <c r="N64" s="7">
        <f>Sheet1[[#This Row],[Sales]]-Sheet1[[#This Row],[Profit]]</f>
        <v>683</v>
      </c>
    </row>
    <row r="65" spans="1:14" x14ac:dyDescent="0.2">
      <c r="A65">
        <v>1345</v>
      </c>
      <c r="B65" s="8">
        <v>44625</v>
      </c>
      <c r="C65" t="s">
        <v>14</v>
      </c>
      <c r="D65" t="s">
        <v>22</v>
      </c>
      <c r="E65" t="s">
        <v>26</v>
      </c>
      <c r="F65" t="s">
        <v>31</v>
      </c>
      <c r="G65">
        <v>9</v>
      </c>
      <c r="H65">
        <v>472</v>
      </c>
      <c r="I65">
        <v>0.1</v>
      </c>
      <c r="J65" s="7">
        <f>Sheet1[[#This Row],[Quantity]]*Sheet1[[#This Row],[Unit Price]]*(1-Sheet1[[#This Row],[Discount]])</f>
        <v>3823.2000000000003</v>
      </c>
      <c r="K65">
        <v>447</v>
      </c>
      <c r="L65" t="s">
        <v>32</v>
      </c>
      <c r="M65" s="7">
        <f>Sheet1[[#This Row],[Quantity]]*Sheet1[[#This Row],[Unit Price]]*(1 - Sheet1[[#This Row],[Discount]])</f>
        <v>3823.2000000000003</v>
      </c>
      <c r="N65" s="7">
        <f>Sheet1[[#This Row],[Sales]]-Sheet1[[#This Row],[Profit]]</f>
        <v>3376.2000000000003</v>
      </c>
    </row>
    <row r="66" spans="1:14" x14ac:dyDescent="0.2">
      <c r="A66">
        <v>1564</v>
      </c>
      <c r="B66" s="8">
        <v>44626</v>
      </c>
      <c r="C66" t="s">
        <v>15</v>
      </c>
      <c r="D66" t="s">
        <v>20</v>
      </c>
      <c r="E66" t="s">
        <v>25</v>
      </c>
      <c r="F66" t="s">
        <v>31</v>
      </c>
      <c r="G66">
        <v>2</v>
      </c>
      <c r="H66">
        <v>406</v>
      </c>
      <c r="I66">
        <v>0.1</v>
      </c>
      <c r="J66" s="7">
        <f>Sheet1[[#This Row],[Quantity]]*Sheet1[[#This Row],[Unit Price]]*(1-Sheet1[[#This Row],[Discount]])</f>
        <v>730.80000000000007</v>
      </c>
      <c r="K66">
        <v>162</v>
      </c>
      <c r="L66" t="s">
        <v>32</v>
      </c>
      <c r="M66" s="7">
        <f>Sheet1[[#This Row],[Quantity]]*Sheet1[[#This Row],[Unit Price]]*(1 - Sheet1[[#This Row],[Discount]])</f>
        <v>730.80000000000007</v>
      </c>
      <c r="N66" s="7">
        <f>Sheet1[[#This Row],[Sales]]-Sheet1[[#This Row],[Profit]]</f>
        <v>568.80000000000007</v>
      </c>
    </row>
    <row r="67" spans="1:14" x14ac:dyDescent="0.2">
      <c r="A67">
        <v>1897</v>
      </c>
      <c r="B67" s="8">
        <v>44627</v>
      </c>
      <c r="C67" t="s">
        <v>13</v>
      </c>
      <c r="D67" t="s">
        <v>20</v>
      </c>
      <c r="E67" t="s">
        <v>26</v>
      </c>
      <c r="F67" t="s">
        <v>30</v>
      </c>
      <c r="G67">
        <v>5</v>
      </c>
      <c r="H67">
        <v>276</v>
      </c>
      <c r="I67">
        <v>0.3</v>
      </c>
      <c r="J67" s="7">
        <f>Sheet1[[#This Row],[Quantity]]*Sheet1[[#This Row],[Unit Price]]*(1-Sheet1[[#This Row],[Discount]])</f>
        <v>965.99999999999989</v>
      </c>
      <c r="K67">
        <v>226</v>
      </c>
      <c r="L67" t="s">
        <v>32</v>
      </c>
      <c r="M67" s="7">
        <f>Sheet1[[#This Row],[Quantity]]*Sheet1[[#This Row],[Unit Price]]*(1 - Sheet1[[#This Row],[Discount]])</f>
        <v>965.99999999999989</v>
      </c>
      <c r="N67" s="7">
        <f>Sheet1[[#This Row],[Sales]]-Sheet1[[#This Row],[Profit]]</f>
        <v>739.99999999999989</v>
      </c>
    </row>
    <row r="68" spans="1:14" x14ac:dyDescent="0.2">
      <c r="A68">
        <v>1091</v>
      </c>
      <c r="B68" s="8">
        <v>44628</v>
      </c>
      <c r="C68" t="s">
        <v>15</v>
      </c>
      <c r="D68" t="s">
        <v>22</v>
      </c>
      <c r="E68" t="s">
        <v>26</v>
      </c>
      <c r="F68" t="s">
        <v>28</v>
      </c>
      <c r="G68">
        <v>9</v>
      </c>
      <c r="H68">
        <v>399</v>
      </c>
      <c r="I68">
        <v>0</v>
      </c>
      <c r="J68" s="7">
        <f>Sheet1[[#This Row],[Quantity]]*Sheet1[[#This Row],[Unit Price]]*(1-Sheet1[[#This Row],[Discount]])</f>
        <v>3591</v>
      </c>
      <c r="K68">
        <v>1017</v>
      </c>
      <c r="L68" t="s">
        <v>32</v>
      </c>
      <c r="M68" s="7">
        <f>Sheet1[[#This Row],[Quantity]]*Sheet1[[#This Row],[Unit Price]]*(1 - Sheet1[[#This Row],[Discount]])</f>
        <v>3591</v>
      </c>
      <c r="N68" s="7">
        <f>Sheet1[[#This Row],[Sales]]-Sheet1[[#This Row],[Profit]]</f>
        <v>2574</v>
      </c>
    </row>
    <row r="69" spans="1:14" x14ac:dyDescent="0.2">
      <c r="A69">
        <v>1366</v>
      </c>
      <c r="B69" s="8">
        <v>44629</v>
      </c>
      <c r="C69" t="s">
        <v>13</v>
      </c>
      <c r="D69" t="s">
        <v>20</v>
      </c>
      <c r="E69" t="s">
        <v>24</v>
      </c>
      <c r="F69" t="s">
        <v>29</v>
      </c>
      <c r="G69">
        <v>8</v>
      </c>
      <c r="H69">
        <v>441</v>
      </c>
      <c r="I69">
        <v>0</v>
      </c>
      <c r="J69" s="7">
        <f>Sheet1[[#This Row],[Quantity]]*Sheet1[[#This Row],[Unit Price]]*(1-Sheet1[[#This Row],[Discount]])</f>
        <v>3528</v>
      </c>
      <c r="K69">
        <v>743</v>
      </c>
      <c r="L69" t="s">
        <v>32</v>
      </c>
      <c r="M69" s="7">
        <f>Sheet1[[#This Row],[Quantity]]*Sheet1[[#This Row],[Unit Price]]*(1 - Sheet1[[#This Row],[Discount]])</f>
        <v>3528</v>
      </c>
      <c r="N69" s="7">
        <f>Sheet1[[#This Row],[Sales]]-Sheet1[[#This Row],[Profit]]</f>
        <v>2785</v>
      </c>
    </row>
    <row r="70" spans="1:14" x14ac:dyDescent="0.2">
      <c r="A70">
        <v>1454</v>
      </c>
      <c r="B70" s="8">
        <v>44630</v>
      </c>
      <c r="C70" t="s">
        <v>13</v>
      </c>
      <c r="D70" t="s">
        <v>22</v>
      </c>
      <c r="E70" t="s">
        <v>25</v>
      </c>
      <c r="F70" t="s">
        <v>28</v>
      </c>
      <c r="G70">
        <v>1</v>
      </c>
      <c r="H70">
        <v>181</v>
      </c>
      <c r="I70">
        <v>0.3</v>
      </c>
      <c r="J70" s="7">
        <f>Sheet1[[#This Row],[Quantity]]*Sheet1[[#This Row],[Unit Price]]*(1-Sheet1[[#This Row],[Discount]])</f>
        <v>126.69999999999999</v>
      </c>
      <c r="K70">
        <v>26</v>
      </c>
      <c r="L70" t="s">
        <v>32</v>
      </c>
      <c r="M70" s="7">
        <f>Sheet1[[#This Row],[Quantity]]*Sheet1[[#This Row],[Unit Price]]*(1 - Sheet1[[#This Row],[Discount]])</f>
        <v>126.69999999999999</v>
      </c>
      <c r="N70" s="7">
        <f>Sheet1[[#This Row],[Sales]]-Sheet1[[#This Row],[Profit]]</f>
        <v>100.69999999999999</v>
      </c>
    </row>
    <row r="71" spans="1:14" x14ac:dyDescent="0.2">
      <c r="A71">
        <v>1427</v>
      </c>
      <c r="B71" s="8">
        <v>44631</v>
      </c>
      <c r="C71" t="s">
        <v>14</v>
      </c>
      <c r="D71" t="s">
        <v>21</v>
      </c>
      <c r="E71" t="s">
        <v>26</v>
      </c>
      <c r="F71" t="s">
        <v>30</v>
      </c>
      <c r="G71">
        <v>9</v>
      </c>
      <c r="H71">
        <v>464</v>
      </c>
      <c r="I71">
        <v>0.3</v>
      </c>
      <c r="J71" s="7">
        <f>Sheet1[[#This Row],[Quantity]]*Sheet1[[#This Row],[Unit Price]]*(1-Sheet1[[#This Row],[Discount]])</f>
        <v>2923.2</v>
      </c>
      <c r="K71">
        <v>720</v>
      </c>
      <c r="L71" t="s">
        <v>32</v>
      </c>
      <c r="M71" s="7">
        <f>Sheet1[[#This Row],[Quantity]]*Sheet1[[#This Row],[Unit Price]]*(1 - Sheet1[[#This Row],[Discount]])</f>
        <v>2923.2</v>
      </c>
      <c r="N71" s="7">
        <f>Sheet1[[#This Row],[Sales]]-Sheet1[[#This Row],[Profit]]</f>
        <v>2203.1999999999998</v>
      </c>
    </row>
    <row r="72" spans="1:14" x14ac:dyDescent="0.2">
      <c r="A72">
        <v>1508</v>
      </c>
      <c r="B72" s="8">
        <v>44632</v>
      </c>
      <c r="C72" t="s">
        <v>16</v>
      </c>
      <c r="D72" t="s">
        <v>20</v>
      </c>
      <c r="E72" t="s">
        <v>26</v>
      </c>
      <c r="F72" t="s">
        <v>31</v>
      </c>
      <c r="G72">
        <v>8</v>
      </c>
      <c r="H72">
        <v>182</v>
      </c>
      <c r="I72">
        <v>0.2</v>
      </c>
      <c r="J72" s="7">
        <f>Sheet1[[#This Row],[Quantity]]*Sheet1[[#This Row],[Unit Price]]*(1-Sheet1[[#This Row],[Discount]])</f>
        <v>1164.8</v>
      </c>
      <c r="K72">
        <v>93</v>
      </c>
      <c r="L72" t="s">
        <v>32</v>
      </c>
      <c r="M72" s="7">
        <f>Sheet1[[#This Row],[Quantity]]*Sheet1[[#This Row],[Unit Price]]*(1 - Sheet1[[#This Row],[Discount]])</f>
        <v>1164.8</v>
      </c>
      <c r="N72" s="7">
        <f>Sheet1[[#This Row],[Sales]]-Sheet1[[#This Row],[Profit]]</f>
        <v>1071.8</v>
      </c>
    </row>
    <row r="73" spans="1:14" x14ac:dyDescent="0.2">
      <c r="A73">
        <v>1775</v>
      </c>
      <c r="B73" s="8">
        <v>44633</v>
      </c>
      <c r="C73" t="s">
        <v>14</v>
      </c>
      <c r="D73" t="s">
        <v>23</v>
      </c>
      <c r="E73" t="s">
        <v>24</v>
      </c>
      <c r="F73" t="s">
        <v>29</v>
      </c>
      <c r="G73">
        <v>9</v>
      </c>
      <c r="H73">
        <v>339</v>
      </c>
      <c r="I73">
        <v>0.1</v>
      </c>
      <c r="J73" s="7">
        <f>Sheet1[[#This Row],[Quantity]]*Sheet1[[#This Row],[Unit Price]]*(1-Sheet1[[#This Row],[Discount]])</f>
        <v>2745.9</v>
      </c>
      <c r="K73">
        <v>465</v>
      </c>
      <c r="L73" t="s">
        <v>32</v>
      </c>
      <c r="M73" s="7">
        <f>Sheet1[[#This Row],[Quantity]]*Sheet1[[#This Row],[Unit Price]]*(1 - Sheet1[[#This Row],[Discount]])</f>
        <v>2745.9</v>
      </c>
      <c r="N73" s="7">
        <f>Sheet1[[#This Row],[Sales]]-Sheet1[[#This Row],[Profit]]</f>
        <v>2280.9</v>
      </c>
    </row>
    <row r="74" spans="1:14" x14ac:dyDescent="0.2">
      <c r="A74">
        <v>1034</v>
      </c>
      <c r="B74" s="8">
        <v>44634</v>
      </c>
      <c r="C74" t="s">
        <v>16</v>
      </c>
      <c r="D74" t="s">
        <v>20</v>
      </c>
      <c r="E74" t="s">
        <v>24</v>
      </c>
      <c r="F74" t="s">
        <v>28</v>
      </c>
      <c r="G74">
        <v>3</v>
      </c>
      <c r="H74">
        <v>299</v>
      </c>
      <c r="I74">
        <v>0.1</v>
      </c>
      <c r="J74" s="7">
        <f>Sheet1[[#This Row],[Quantity]]*Sheet1[[#This Row],[Unit Price]]*(1-Sheet1[[#This Row],[Discount]])</f>
        <v>807.30000000000007</v>
      </c>
      <c r="K74">
        <v>118</v>
      </c>
      <c r="L74" t="s">
        <v>32</v>
      </c>
      <c r="M74" s="7">
        <f>Sheet1[[#This Row],[Quantity]]*Sheet1[[#This Row],[Unit Price]]*(1 - Sheet1[[#This Row],[Discount]])</f>
        <v>807.30000000000007</v>
      </c>
      <c r="N74" s="7">
        <f>Sheet1[[#This Row],[Sales]]-Sheet1[[#This Row],[Profit]]</f>
        <v>689.30000000000007</v>
      </c>
    </row>
    <row r="75" spans="1:14" x14ac:dyDescent="0.2">
      <c r="A75">
        <v>1205</v>
      </c>
      <c r="B75" s="8">
        <v>44635</v>
      </c>
      <c r="C75" t="s">
        <v>15</v>
      </c>
      <c r="D75" t="s">
        <v>20</v>
      </c>
      <c r="E75" t="s">
        <v>26</v>
      </c>
      <c r="F75" t="s">
        <v>28</v>
      </c>
      <c r="G75">
        <v>3</v>
      </c>
      <c r="H75">
        <v>31</v>
      </c>
      <c r="I75">
        <v>0.1</v>
      </c>
      <c r="J75" s="7">
        <f>Sheet1[[#This Row],[Quantity]]*Sheet1[[#This Row],[Unit Price]]*(1-Sheet1[[#This Row],[Discount]])</f>
        <v>83.7</v>
      </c>
      <c r="K75">
        <v>16</v>
      </c>
      <c r="L75" t="s">
        <v>32</v>
      </c>
      <c r="M75" s="7">
        <f>Sheet1[[#This Row],[Quantity]]*Sheet1[[#This Row],[Unit Price]]*(1 - Sheet1[[#This Row],[Discount]])</f>
        <v>83.7</v>
      </c>
      <c r="N75" s="7">
        <f>Sheet1[[#This Row],[Sales]]-Sheet1[[#This Row],[Profit]]</f>
        <v>67.7</v>
      </c>
    </row>
    <row r="76" spans="1:14" x14ac:dyDescent="0.2">
      <c r="A76">
        <v>1080</v>
      </c>
      <c r="B76" s="8">
        <v>44636</v>
      </c>
      <c r="C76" t="s">
        <v>19</v>
      </c>
      <c r="D76" t="s">
        <v>20</v>
      </c>
      <c r="E76" t="s">
        <v>25</v>
      </c>
      <c r="F76" t="s">
        <v>28</v>
      </c>
      <c r="G76">
        <v>2</v>
      </c>
      <c r="H76">
        <v>293</v>
      </c>
      <c r="I76">
        <v>0</v>
      </c>
      <c r="J76" s="7">
        <f>Sheet1[[#This Row],[Quantity]]*Sheet1[[#This Row],[Unit Price]]*(1-Sheet1[[#This Row],[Discount]])</f>
        <v>586</v>
      </c>
      <c r="K76">
        <v>115</v>
      </c>
      <c r="L76" t="s">
        <v>32</v>
      </c>
      <c r="M76" s="7">
        <f>Sheet1[[#This Row],[Quantity]]*Sheet1[[#This Row],[Unit Price]]*(1 - Sheet1[[#This Row],[Discount]])</f>
        <v>586</v>
      </c>
      <c r="N76" s="7">
        <f>Sheet1[[#This Row],[Sales]]-Sheet1[[#This Row],[Profit]]</f>
        <v>471</v>
      </c>
    </row>
    <row r="77" spans="1:14" x14ac:dyDescent="0.2">
      <c r="A77">
        <v>1931</v>
      </c>
      <c r="B77" s="8">
        <v>44637</v>
      </c>
      <c r="C77" t="s">
        <v>18</v>
      </c>
      <c r="D77" t="s">
        <v>20</v>
      </c>
      <c r="E77" t="s">
        <v>26</v>
      </c>
      <c r="F77" t="s">
        <v>28</v>
      </c>
      <c r="G77">
        <v>5</v>
      </c>
      <c r="H77">
        <v>290</v>
      </c>
      <c r="I77">
        <v>0.1</v>
      </c>
      <c r="J77" s="7">
        <f>Sheet1[[#This Row],[Quantity]]*Sheet1[[#This Row],[Unit Price]]*(1-Sheet1[[#This Row],[Discount]])</f>
        <v>1305</v>
      </c>
      <c r="K77">
        <v>139</v>
      </c>
      <c r="L77" t="s">
        <v>32</v>
      </c>
      <c r="M77" s="7">
        <f>Sheet1[[#This Row],[Quantity]]*Sheet1[[#This Row],[Unit Price]]*(1 - Sheet1[[#This Row],[Discount]])</f>
        <v>1305</v>
      </c>
      <c r="N77" s="7">
        <f>Sheet1[[#This Row],[Sales]]-Sheet1[[#This Row],[Profit]]</f>
        <v>1166</v>
      </c>
    </row>
    <row r="78" spans="1:14" x14ac:dyDescent="0.2">
      <c r="A78">
        <v>1561</v>
      </c>
      <c r="B78" s="8">
        <v>44638</v>
      </c>
      <c r="C78" t="s">
        <v>14</v>
      </c>
      <c r="D78" t="s">
        <v>20</v>
      </c>
      <c r="E78" t="s">
        <v>26</v>
      </c>
      <c r="F78" t="s">
        <v>30</v>
      </c>
      <c r="G78">
        <v>3</v>
      </c>
      <c r="H78">
        <v>227</v>
      </c>
      <c r="I78">
        <v>0.3</v>
      </c>
      <c r="J78" s="7">
        <f>Sheet1[[#This Row],[Quantity]]*Sheet1[[#This Row],[Unit Price]]*(1-Sheet1[[#This Row],[Discount]])</f>
        <v>476.7</v>
      </c>
      <c r="K78">
        <v>67</v>
      </c>
      <c r="L78" t="s">
        <v>32</v>
      </c>
      <c r="M78" s="7">
        <f>Sheet1[[#This Row],[Quantity]]*Sheet1[[#This Row],[Unit Price]]*(1 - Sheet1[[#This Row],[Discount]])</f>
        <v>476.7</v>
      </c>
      <c r="N78" s="7">
        <f>Sheet1[[#This Row],[Sales]]-Sheet1[[#This Row],[Profit]]</f>
        <v>409.7</v>
      </c>
    </row>
    <row r="79" spans="1:14" x14ac:dyDescent="0.2">
      <c r="A79">
        <v>1001</v>
      </c>
      <c r="B79" s="8">
        <v>44639</v>
      </c>
      <c r="C79" t="s">
        <v>14</v>
      </c>
      <c r="D79" t="s">
        <v>22</v>
      </c>
      <c r="E79" t="s">
        <v>26</v>
      </c>
      <c r="F79" t="s">
        <v>31</v>
      </c>
      <c r="G79">
        <v>3</v>
      </c>
      <c r="H79">
        <v>79</v>
      </c>
      <c r="I79">
        <v>0</v>
      </c>
      <c r="J79" s="7">
        <f>Sheet1[[#This Row],[Quantity]]*Sheet1[[#This Row],[Unit Price]]*(1-Sheet1[[#This Row],[Discount]])</f>
        <v>237</v>
      </c>
      <c r="K79">
        <v>13</v>
      </c>
      <c r="L79" t="s">
        <v>32</v>
      </c>
      <c r="M79" s="7">
        <f>Sheet1[[#This Row],[Quantity]]*Sheet1[[#This Row],[Unit Price]]*(1 - Sheet1[[#This Row],[Discount]])</f>
        <v>237</v>
      </c>
      <c r="N79" s="7">
        <f>Sheet1[[#This Row],[Sales]]-Sheet1[[#This Row],[Profit]]</f>
        <v>224</v>
      </c>
    </row>
    <row r="80" spans="1:14" x14ac:dyDescent="0.2">
      <c r="A80">
        <v>1389</v>
      </c>
      <c r="B80" s="8">
        <v>44640</v>
      </c>
      <c r="C80" t="s">
        <v>16</v>
      </c>
      <c r="D80" t="s">
        <v>23</v>
      </c>
      <c r="E80" t="s">
        <v>24</v>
      </c>
      <c r="F80" t="s">
        <v>31</v>
      </c>
      <c r="G80">
        <v>5</v>
      </c>
      <c r="H80">
        <v>449</v>
      </c>
      <c r="I80">
        <v>0.2</v>
      </c>
      <c r="J80" s="7">
        <f>Sheet1[[#This Row],[Quantity]]*Sheet1[[#This Row],[Unit Price]]*(1-Sheet1[[#This Row],[Discount]])</f>
        <v>1796</v>
      </c>
      <c r="K80">
        <v>463</v>
      </c>
      <c r="L80" t="s">
        <v>32</v>
      </c>
      <c r="M80" s="7">
        <f>Sheet1[[#This Row],[Quantity]]*Sheet1[[#This Row],[Unit Price]]*(1 - Sheet1[[#This Row],[Discount]])</f>
        <v>1796</v>
      </c>
      <c r="N80" s="7">
        <f>Sheet1[[#This Row],[Sales]]-Sheet1[[#This Row],[Profit]]</f>
        <v>1333</v>
      </c>
    </row>
    <row r="81" spans="1:14" x14ac:dyDescent="0.2">
      <c r="A81">
        <v>1565</v>
      </c>
      <c r="B81" s="8">
        <v>44641</v>
      </c>
      <c r="C81" t="s">
        <v>19</v>
      </c>
      <c r="D81" t="s">
        <v>20</v>
      </c>
      <c r="E81" t="s">
        <v>25</v>
      </c>
      <c r="F81" t="s">
        <v>31</v>
      </c>
      <c r="G81">
        <v>1</v>
      </c>
      <c r="H81">
        <v>492</v>
      </c>
      <c r="I81">
        <v>0.1</v>
      </c>
      <c r="J81" s="7">
        <f>Sheet1[[#This Row],[Quantity]]*Sheet1[[#This Row],[Unit Price]]*(1-Sheet1[[#This Row],[Discount]])</f>
        <v>442.8</v>
      </c>
      <c r="K81">
        <v>58</v>
      </c>
      <c r="L81" t="s">
        <v>32</v>
      </c>
      <c r="M81" s="7">
        <f>Sheet1[[#This Row],[Quantity]]*Sheet1[[#This Row],[Unit Price]]*(1 - Sheet1[[#This Row],[Discount]])</f>
        <v>442.8</v>
      </c>
      <c r="N81" s="7">
        <f>Sheet1[[#This Row],[Sales]]-Sheet1[[#This Row],[Profit]]</f>
        <v>384.8</v>
      </c>
    </row>
    <row r="82" spans="1:14" x14ac:dyDescent="0.2">
      <c r="A82">
        <v>1105</v>
      </c>
      <c r="B82" s="8">
        <v>44642</v>
      </c>
      <c r="C82" t="s">
        <v>15</v>
      </c>
      <c r="D82" t="s">
        <v>21</v>
      </c>
      <c r="E82" t="s">
        <v>25</v>
      </c>
      <c r="F82" t="s">
        <v>30</v>
      </c>
      <c r="G82">
        <v>1</v>
      </c>
      <c r="H82">
        <v>164</v>
      </c>
      <c r="I82">
        <v>0.1</v>
      </c>
      <c r="J82" s="7">
        <f>Sheet1[[#This Row],[Quantity]]*Sheet1[[#This Row],[Unit Price]]*(1-Sheet1[[#This Row],[Discount]])</f>
        <v>147.6</v>
      </c>
      <c r="K82">
        <v>29</v>
      </c>
      <c r="L82" t="s">
        <v>32</v>
      </c>
      <c r="M82" s="7">
        <f>Sheet1[[#This Row],[Quantity]]*Sheet1[[#This Row],[Unit Price]]*(1 - Sheet1[[#This Row],[Discount]])</f>
        <v>147.6</v>
      </c>
      <c r="N82" s="7">
        <f>Sheet1[[#This Row],[Sales]]-Sheet1[[#This Row],[Profit]]</f>
        <v>118.6</v>
      </c>
    </row>
    <row r="83" spans="1:14" x14ac:dyDescent="0.2">
      <c r="A83">
        <v>1771</v>
      </c>
      <c r="B83" s="8">
        <v>44643</v>
      </c>
      <c r="C83" t="s">
        <v>13</v>
      </c>
      <c r="D83" t="s">
        <v>20</v>
      </c>
      <c r="E83" t="s">
        <v>24</v>
      </c>
      <c r="F83" t="s">
        <v>27</v>
      </c>
      <c r="G83">
        <v>9</v>
      </c>
      <c r="H83">
        <v>112</v>
      </c>
      <c r="I83">
        <v>0.2</v>
      </c>
      <c r="J83" s="7">
        <f>Sheet1[[#This Row],[Quantity]]*Sheet1[[#This Row],[Unit Price]]*(1-Sheet1[[#This Row],[Discount]])</f>
        <v>806.40000000000009</v>
      </c>
      <c r="K83">
        <v>101</v>
      </c>
      <c r="L83" t="s">
        <v>32</v>
      </c>
      <c r="M83" s="7">
        <f>Sheet1[[#This Row],[Quantity]]*Sheet1[[#This Row],[Unit Price]]*(1 - Sheet1[[#This Row],[Discount]])</f>
        <v>806.40000000000009</v>
      </c>
      <c r="N83" s="7">
        <f>Sheet1[[#This Row],[Sales]]-Sheet1[[#This Row],[Profit]]</f>
        <v>705.40000000000009</v>
      </c>
    </row>
    <row r="84" spans="1:14" x14ac:dyDescent="0.2">
      <c r="A84">
        <v>1821</v>
      </c>
      <c r="B84" s="8">
        <v>44644</v>
      </c>
      <c r="C84" t="s">
        <v>15</v>
      </c>
      <c r="D84" t="s">
        <v>21</v>
      </c>
      <c r="E84" t="s">
        <v>24</v>
      </c>
      <c r="F84" t="s">
        <v>29</v>
      </c>
      <c r="G84">
        <v>7</v>
      </c>
      <c r="H84">
        <v>328</v>
      </c>
      <c r="I84">
        <v>0.1</v>
      </c>
      <c r="J84" s="7">
        <f>Sheet1[[#This Row],[Quantity]]*Sheet1[[#This Row],[Unit Price]]*(1-Sheet1[[#This Row],[Discount]])</f>
        <v>2066.4</v>
      </c>
      <c r="K84">
        <v>655</v>
      </c>
      <c r="L84" t="s">
        <v>32</v>
      </c>
      <c r="M84" s="7">
        <f>Sheet1[[#This Row],[Quantity]]*Sheet1[[#This Row],[Unit Price]]*(1 - Sheet1[[#This Row],[Discount]])</f>
        <v>2066.4</v>
      </c>
      <c r="N84" s="7">
        <f>Sheet1[[#This Row],[Sales]]-Sheet1[[#This Row],[Profit]]</f>
        <v>1411.4</v>
      </c>
    </row>
    <row r="85" spans="1:14" x14ac:dyDescent="0.2">
      <c r="A85">
        <v>1476</v>
      </c>
      <c r="B85" s="8">
        <v>44645</v>
      </c>
      <c r="C85" t="s">
        <v>13</v>
      </c>
      <c r="D85" t="s">
        <v>22</v>
      </c>
      <c r="E85" t="s">
        <v>24</v>
      </c>
      <c r="F85" t="s">
        <v>28</v>
      </c>
      <c r="G85">
        <v>1</v>
      </c>
      <c r="H85">
        <v>27</v>
      </c>
      <c r="I85">
        <v>0</v>
      </c>
      <c r="J85" s="7">
        <f>Sheet1[[#This Row],[Quantity]]*Sheet1[[#This Row],[Unit Price]]*(1-Sheet1[[#This Row],[Discount]])</f>
        <v>27</v>
      </c>
      <c r="K85">
        <v>3</v>
      </c>
      <c r="L85" t="s">
        <v>33</v>
      </c>
      <c r="M85" s="7">
        <f>Sheet1[[#This Row],[Quantity]]*Sheet1[[#This Row],[Unit Price]]*(1 - Sheet1[[#This Row],[Discount]])</f>
        <v>27</v>
      </c>
      <c r="N85" s="7">
        <f>Sheet1[[#This Row],[Sales]]-Sheet1[[#This Row],[Profit]]</f>
        <v>24</v>
      </c>
    </row>
    <row r="86" spans="1:14" x14ac:dyDescent="0.2">
      <c r="A86">
        <v>1702</v>
      </c>
      <c r="B86" s="8">
        <v>44646</v>
      </c>
      <c r="C86" t="s">
        <v>15</v>
      </c>
      <c r="D86" t="s">
        <v>21</v>
      </c>
      <c r="E86" t="s">
        <v>24</v>
      </c>
      <c r="F86" t="s">
        <v>27</v>
      </c>
      <c r="G86">
        <v>8</v>
      </c>
      <c r="H86">
        <v>98</v>
      </c>
      <c r="I86">
        <v>0</v>
      </c>
      <c r="J86" s="7">
        <f>Sheet1[[#This Row],[Quantity]]*Sheet1[[#This Row],[Unit Price]]*(1-Sheet1[[#This Row],[Discount]])</f>
        <v>784</v>
      </c>
      <c r="K86">
        <v>123</v>
      </c>
      <c r="L86" t="s">
        <v>32</v>
      </c>
      <c r="M86" s="7">
        <f>Sheet1[[#This Row],[Quantity]]*Sheet1[[#This Row],[Unit Price]]*(1 - Sheet1[[#This Row],[Discount]])</f>
        <v>784</v>
      </c>
      <c r="N86" s="7">
        <f>Sheet1[[#This Row],[Sales]]-Sheet1[[#This Row],[Profit]]</f>
        <v>661</v>
      </c>
    </row>
    <row r="87" spans="1:14" x14ac:dyDescent="0.2">
      <c r="A87">
        <v>1401</v>
      </c>
      <c r="B87" s="8">
        <v>44647</v>
      </c>
      <c r="C87" t="s">
        <v>14</v>
      </c>
      <c r="D87" t="s">
        <v>23</v>
      </c>
      <c r="E87" t="s">
        <v>24</v>
      </c>
      <c r="F87" t="s">
        <v>31</v>
      </c>
      <c r="G87">
        <v>3</v>
      </c>
      <c r="H87">
        <v>46</v>
      </c>
      <c r="I87">
        <v>0.2</v>
      </c>
      <c r="J87" s="7">
        <f>Sheet1[[#This Row],[Quantity]]*Sheet1[[#This Row],[Unit Price]]*(1-Sheet1[[#This Row],[Discount]])</f>
        <v>110.4</v>
      </c>
      <c r="K87">
        <v>30</v>
      </c>
      <c r="L87" t="s">
        <v>32</v>
      </c>
      <c r="M87" s="7">
        <f>Sheet1[[#This Row],[Quantity]]*Sheet1[[#This Row],[Unit Price]]*(1 - Sheet1[[#This Row],[Discount]])</f>
        <v>110.4</v>
      </c>
      <c r="N87" s="7">
        <f>Sheet1[[#This Row],[Sales]]-Sheet1[[#This Row],[Profit]]</f>
        <v>80.400000000000006</v>
      </c>
    </row>
    <row r="88" spans="1:14" x14ac:dyDescent="0.2">
      <c r="A88">
        <v>1161</v>
      </c>
      <c r="B88" s="8">
        <v>44648</v>
      </c>
      <c r="C88" t="s">
        <v>17</v>
      </c>
      <c r="D88" t="s">
        <v>21</v>
      </c>
      <c r="E88" t="s">
        <v>24</v>
      </c>
      <c r="F88" t="s">
        <v>28</v>
      </c>
      <c r="G88">
        <v>1</v>
      </c>
      <c r="H88">
        <v>218</v>
      </c>
      <c r="I88">
        <v>0.3</v>
      </c>
      <c r="J88" s="7">
        <f>Sheet1[[#This Row],[Quantity]]*Sheet1[[#This Row],[Unit Price]]*(1-Sheet1[[#This Row],[Discount]])</f>
        <v>152.6</v>
      </c>
      <c r="K88">
        <v>38</v>
      </c>
      <c r="L88" t="s">
        <v>32</v>
      </c>
      <c r="M88" s="7">
        <f>Sheet1[[#This Row],[Quantity]]*Sheet1[[#This Row],[Unit Price]]*(1 - Sheet1[[#This Row],[Discount]])</f>
        <v>152.6</v>
      </c>
      <c r="N88" s="7">
        <f>Sheet1[[#This Row],[Sales]]-Sheet1[[#This Row],[Profit]]</f>
        <v>114.6</v>
      </c>
    </row>
    <row r="89" spans="1:14" x14ac:dyDescent="0.2">
      <c r="A89">
        <v>1201</v>
      </c>
      <c r="B89" s="8">
        <v>44649</v>
      </c>
      <c r="C89" t="s">
        <v>16</v>
      </c>
      <c r="D89" t="s">
        <v>21</v>
      </c>
      <c r="E89" t="s">
        <v>26</v>
      </c>
      <c r="F89" t="s">
        <v>28</v>
      </c>
      <c r="G89">
        <v>7</v>
      </c>
      <c r="H89">
        <v>406</v>
      </c>
      <c r="I89">
        <v>0.1</v>
      </c>
      <c r="J89" s="7">
        <f>Sheet1[[#This Row],[Quantity]]*Sheet1[[#This Row],[Unit Price]]*(1-Sheet1[[#This Row],[Discount]])</f>
        <v>2557.8000000000002</v>
      </c>
      <c r="K89">
        <v>468</v>
      </c>
      <c r="L89" t="s">
        <v>32</v>
      </c>
      <c r="M89" s="7">
        <f>Sheet1[[#This Row],[Quantity]]*Sheet1[[#This Row],[Unit Price]]*(1 - Sheet1[[#This Row],[Discount]])</f>
        <v>2557.8000000000002</v>
      </c>
      <c r="N89" s="7">
        <f>Sheet1[[#This Row],[Sales]]-Sheet1[[#This Row],[Profit]]</f>
        <v>2089.8000000000002</v>
      </c>
    </row>
    <row r="90" spans="1:14" x14ac:dyDescent="0.2">
      <c r="A90">
        <v>1995</v>
      </c>
      <c r="B90" s="8">
        <v>44650</v>
      </c>
      <c r="C90" t="s">
        <v>15</v>
      </c>
      <c r="D90" t="s">
        <v>23</v>
      </c>
      <c r="E90" t="s">
        <v>26</v>
      </c>
      <c r="F90" t="s">
        <v>29</v>
      </c>
      <c r="G90">
        <v>6</v>
      </c>
      <c r="H90">
        <v>467</v>
      </c>
      <c r="I90">
        <v>0.2</v>
      </c>
      <c r="J90" s="7">
        <f>Sheet1[[#This Row],[Quantity]]*Sheet1[[#This Row],[Unit Price]]*(1-Sheet1[[#This Row],[Discount]])</f>
        <v>2241.6</v>
      </c>
      <c r="K90">
        <v>187</v>
      </c>
      <c r="L90" t="s">
        <v>32</v>
      </c>
      <c r="M90" s="7">
        <f>Sheet1[[#This Row],[Quantity]]*Sheet1[[#This Row],[Unit Price]]*(1 - Sheet1[[#This Row],[Discount]])</f>
        <v>2241.6</v>
      </c>
      <c r="N90" s="7">
        <f>Sheet1[[#This Row],[Sales]]-Sheet1[[#This Row],[Profit]]</f>
        <v>2054.6</v>
      </c>
    </row>
    <row r="91" spans="1:14" x14ac:dyDescent="0.2">
      <c r="A91">
        <v>1269</v>
      </c>
      <c r="B91" s="8">
        <v>44651</v>
      </c>
      <c r="C91" t="s">
        <v>13</v>
      </c>
      <c r="D91" t="s">
        <v>20</v>
      </c>
      <c r="E91" t="s">
        <v>24</v>
      </c>
      <c r="F91" t="s">
        <v>31</v>
      </c>
      <c r="G91">
        <v>6</v>
      </c>
      <c r="H91">
        <v>447</v>
      </c>
      <c r="I91">
        <v>0.2</v>
      </c>
      <c r="J91" s="7">
        <f>Sheet1[[#This Row],[Quantity]]*Sheet1[[#This Row],[Unit Price]]*(1-Sheet1[[#This Row],[Discount]])</f>
        <v>2145.6</v>
      </c>
      <c r="K91">
        <v>151</v>
      </c>
      <c r="L91" t="s">
        <v>32</v>
      </c>
      <c r="M91" s="7">
        <f>Sheet1[[#This Row],[Quantity]]*Sheet1[[#This Row],[Unit Price]]*(1 - Sheet1[[#This Row],[Discount]])</f>
        <v>2145.6</v>
      </c>
      <c r="N91" s="7">
        <f>Sheet1[[#This Row],[Sales]]-Sheet1[[#This Row],[Profit]]</f>
        <v>1994.6</v>
      </c>
    </row>
    <row r="92" spans="1:14" x14ac:dyDescent="0.2">
      <c r="A92">
        <v>1862</v>
      </c>
      <c r="B92" s="8">
        <v>44652</v>
      </c>
      <c r="C92" t="s">
        <v>16</v>
      </c>
      <c r="D92" t="s">
        <v>21</v>
      </c>
      <c r="E92" t="s">
        <v>24</v>
      </c>
      <c r="F92" t="s">
        <v>28</v>
      </c>
      <c r="G92">
        <v>8</v>
      </c>
      <c r="H92">
        <v>200</v>
      </c>
      <c r="I92">
        <v>0.1</v>
      </c>
      <c r="J92" s="7">
        <f>Sheet1[[#This Row],[Quantity]]*Sheet1[[#This Row],[Unit Price]]*(1-Sheet1[[#This Row],[Discount]])</f>
        <v>1440</v>
      </c>
      <c r="K92">
        <v>334</v>
      </c>
      <c r="L92" t="s">
        <v>32</v>
      </c>
      <c r="M92" s="7">
        <f>Sheet1[[#This Row],[Quantity]]*Sheet1[[#This Row],[Unit Price]]*(1 - Sheet1[[#This Row],[Discount]])</f>
        <v>1440</v>
      </c>
      <c r="N92" s="7">
        <f>Sheet1[[#This Row],[Sales]]-Sheet1[[#This Row],[Profit]]</f>
        <v>1106</v>
      </c>
    </row>
    <row r="93" spans="1:14" x14ac:dyDescent="0.2">
      <c r="A93">
        <v>1815</v>
      </c>
      <c r="B93" s="8">
        <v>44653</v>
      </c>
      <c r="C93" t="s">
        <v>16</v>
      </c>
      <c r="D93" t="s">
        <v>21</v>
      </c>
      <c r="E93" t="s">
        <v>25</v>
      </c>
      <c r="F93" t="s">
        <v>27</v>
      </c>
      <c r="G93">
        <v>9</v>
      </c>
      <c r="H93">
        <v>43</v>
      </c>
      <c r="I93">
        <v>0</v>
      </c>
      <c r="J93" s="7">
        <f>Sheet1[[#This Row],[Quantity]]*Sheet1[[#This Row],[Unit Price]]*(1-Sheet1[[#This Row],[Discount]])</f>
        <v>387</v>
      </c>
      <c r="K93">
        <v>67</v>
      </c>
      <c r="L93" t="s">
        <v>32</v>
      </c>
      <c r="M93" s="7">
        <f>Sheet1[[#This Row],[Quantity]]*Sheet1[[#This Row],[Unit Price]]*(1 - Sheet1[[#This Row],[Discount]])</f>
        <v>387</v>
      </c>
      <c r="N93" s="7">
        <f>Sheet1[[#This Row],[Sales]]-Sheet1[[#This Row],[Profit]]</f>
        <v>320</v>
      </c>
    </row>
    <row r="94" spans="1:14" x14ac:dyDescent="0.2">
      <c r="A94">
        <v>1461</v>
      </c>
      <c r="B94" s="8">
        <v>44654</v>
      </c>
      <c r="C94" t="s">
        <v>14</v>
      </c>
      <c r="D94" t="s">
        <v>22</v>
      </c>
      <c r="E94" t="s">
        <v>25</v>
      </c>
      <c r="F94" t="s">
        <v>29</v>
      </c>
      <c r="G94">
        <v>9</v>
      </c>
      <c r="H94">
        <v>406</v>
      </c>
      <c r="I94">
        <v>0</v>
      </c>
      <c r="J94" s="7">
        <f>Sheet1[[#This Row],[Quantity]]*Sheet1[[#This Row],[Unit Price]]*(1-Sheet1[[#This Row],[Discount]])</f>
        <v>3654</v>
      </c>
      <c r="K94">
        <v>882</v>
      </c>
      <c r="L94" t="s">
        <v>32</v>
      </c>
      <c r="M94" s="7">
        <f>Sheet1[[#This Row],[Quantity]]*Sheet1[[#This Row],[Unit Price]]*(1 - Sheet1[[#This Row],[Discount]])</f>
        <v>3654</v>
      </c>
      <c r="N94" s="7">
        <f>Sheet1[[#This Row],[Sales]]-Sheet1[[#This Row],[Profit]]</f>
        <v>2772</v>
      </c>
    </row>
    <row r="95" spans="1:14" x14ac:dyDescent="0.2">
      <c r="A95">
        <v>1726</v>
      </c>
      <c r="B95" s="8">
        <v>44655</v>
      </c>
      <c r="C95" t="s">
        <v>14</v>
      </c>
      <c r="D95" t="s">
        <v>21</v>
      </c>
      <c r="E95" t="s">
        <v>25</v>
      </c>
      <c r="F95" t="s">
        <v>31</v>
      </c>
      <c r="G95">
        <v>7</v>
      </c>
      <c r="H95">
        <v>423</v>
      </c>
      <c r="I95">
        <v>0.2</v>
      </c>
      <c r="J95" s="7">
        <f>Sheet1[[#This Row],[Quantity]]*Sheet1[[#This Row],[Unit Price]]*(1-Sheet1[[#This Row],[Discount]])</f>
        <v>2368.8000000000002</v>
      </c>
      <c r="K95">
        <v>213</v>
      </c>
      <c r="L95" t="s">
        <v>32</v>
      </c>
      <c r="M95" s="7">
        <f>Sheet1[[#This Row],[Quantity]]*Sheet1[[#This Row],[Unit Price]]*(1 - Sheet1[[#This Row],[Discount]])</f>
        <v>2368.8000000000002</v>
      </c>
      <c r="N95" s="7">
        <f>Sheet1[[#This Row],[Sales]]-Sheet1[[#This Row],[Profit]]</f>
        <v>2155.8000000000002</v>
      </c>
    </row>
    <row r="96" spans="1:14" x14ac:dyDescent="0.2">
      <c r="A96">
        <v>1251</v>
      </c>
      <c r="B96" s="8">
        <v>44656</v>
      </c>
      <c r="C96" t="s">
        <v>14</v>
      </c>
      <c r="D96" t="s">
        <v>22</v>
      </c>
      <c r="E96" t="s">
        <v>25</v>
      </c>
      <c r="F96" t="s">
        <v>30</v>
      </c>
      <c r="G96">
        <v>1</v>
      </c>
      <c r="H96">
        <v>65</v>
      </c>
      <c r="I96">
        <v>0.1</v>
      </c>
      <c r="J96" s="7">
        <f>Sheet1[[#This Row],[Quantity]]*Sheet1[[#This Row],[Unit Price]]*(1-Sheet1[[#This Row],[Discount]])</f>
        <v>58.5</v>
      </c>
      <c r="K96">
        <v>12</v>
      </c>
      <c r="L96" t="s">
        <v>32</v>
      </c>
      <c r="M96" s="7">
        <f>Sheet1[[#This Row],[Quantity]]*Sheet1[[#This Row],[Unit Price]]*(1 - Sheet1[[#This Row],[Discount]])</f>
        <v>58.5</v>
      </c>
      <c r="N96" s="7">
        <f>Sheet1[[#This Row],[Sales]]-Sheet1[[#This Row],[Profit]]</f>
        <v>46.5</v>
      </c>
    </row>
    <row r="97" spans="1:14" x14ac:dyDescent="0.2">
      <c r="A97">
        <v>1701</v>
      </c>
      <c r="B97" s="8">
        <v>44657</v>
      </c>
      <c r="C97" t="s">
        <v>14</v>
      </c>
      <c r="D97" t="s">
        <v>23</v>
      </c>
      <c r="E97" t="s">
        <v>25</v>
      </c>
      <c r="F97" t="s">
        <v>28</v>
      </c>
      <c r="G97">
        <v>7</v>
      </c>
      <c r="H97">
        <v>34</v>
      </c>
      <c r="I97">
        <v>0.3</v>
      </c>
      <c r="J97" s="7">
        <f>Sheet1[[#This Row],[Quantity]]*Sheet1[[#This Row],[Unit Price]]*(1-Sheet1[[#This Row],[Discount]])</f>
        <v>166.6</v>
      </c>
      <c r="K97">
        <v>14</v>
      </c>
      <c r="L97" t="s">
        <v>32</v>
      </c>
      <c r="M97" s="7">
        <f>Sheet1[[#This Row],[Quantity]]*Sheet1[[#This Row],[Unit Price]]*(1 - Sheet1[[#This Row],[Discount]])</f>
        <v>166.6</v>
      </c>
      <c r="N97" s="7">
        <f>Sheet1[[#This Row],[Sales]]-Sheet1[[#This Row],[Profit]]</f>
        <v>152.6</v>
      </c>
    </row>
    <row r="98" spans="1:14" x14ac:dyDescent="0.2">
      <c r="A98">
        <v>1295</v>
      </c>
      <c r="B98" s="8">
        <v>44658</v>
      </c>
      <c r="C98" t="s">
        <v>14</v>
      </c>
      <c r="D98" t="s">
        <v>23</v>
      </c>
      <c r="E98" t="s">
        <v>26</v>
      </c>
      <c r="F98" t="s">
        <v>29</v>
      </c>
      <c r="G98">
        <v>5</v>
      </c>
      <c r="H98">
        <v>172</v>
      </c>
      <c r="I98">
        <v>0.3</v>
      </c>
      <c r="J98" s="7">
        <f>Sheet1[[#This Row],[Quantity]]*Sheet1[[#This Row],[Unit Price]]*(1-Sheet1[[#This Row],[Discount]])</f>
        <v>602</v>
      </c>
      <c r="K98">
        <v>143</v>
      </c>
      <c r="L98" t="s">
        <v>32</v>
      </c>
      <c r="M98" s="7">
        <f>Sheet1[[#This Row],[Quantity]]*Sheet1[[#This Row],[Unit Price]]*(1 - Sheet1[[#This Row],[Discount]])</f>
        <v>602</v>
      </c>
      <c r="N98" s="7">
        <f>Sheet1[[#This Row],[Sales]]-Sheet1[[#This Row],[Profit]]</f>
        <v>459</v>
      </c>
    </row>
    <row r="99" spans="1:14" x14ac:dyDescent="0.2">
      <c r="A99">
        <v>1724</v>
      </c>
      <c r="B99" s="8">
        <v>44659</v>
      </c>
      <c r="C99" t="s">
        <v>19</v>
      </c>
      <c r="D99" t="s">
        <v>20</v>
      </c>
      <c r="E99" t="s">
        <v>26</v>
      </c>
      <c r="F99" t="s">
        <v>27</v>
      </c>
      <c r="G99">
        <v>6</v>
      </c>
      <c r="H99">
        <v>241</v>
      </c>
      <c r="I99">
        <v>0.1</v>
      </c>
      <c r="J99" s="7">
        <f>Sheet1[[#This Row],[Quantity]]*Sheet1[[#This Row],[Unit Price]]*(1-Sheet1[[#This Row],[Discount]])</f>
        <v>1301.4000000000001</v>
      </c>
      <c r="K99">
        <v>310</v>
      </c>
      <c r="L99" t="s">
        <v>33</v>
      </c>
      <c r="M99" s="7">
        <f>Sheet1[[#This Row],[Quantity]]*Sheet1[[#This Row],[Unit Price]]*(1 - Sheet1[[#This Row],[Discount]])</f>
        <v>1301.4000000000001</v>
      </c>
      <c r="N99" s="7">
        <f>Sheet1[[#This Row],[Sales]]-Sheet1[[#This Row],[Profit]]</f>
        <v>991.40000000000009</v>
      </c>
    </row>
    <row r="100" spans="1:14" x14ac:dyDescent="0.2">
      <c r="A100">
        <v>1719</v>
      </c>
      <c r="B100" s="8">
        <v>44660</v>
      </c>
      <c r="C100" t="s">
        <v>16</v>
      </c>
      <c r="D100" t="s">
        <v>21</v>
      </c>
      <c r="E100" t="s">
        <v>24</v>
      </c>
      <c r="F100" t="s">
        <v>29</v>
      </c>
      <c r="G100">
        <v>7</v>
      </c>
      <c r="H100">
        <v>225</v>
      </c>
      <c r="I100">
        <v>0.3</v>
      </c>
      <c r="J100" s="7">
        <f>Sheet1[[#This Row],[Quantity]]*Sheet1[[#This Row],[Unit Price]]*(1-Sheet1[[#This Row],[Discount]])</f>
        <v>1102.5</v>
      </c>
      <c r="K100">
        <v>319</v>
      </c>
      <c r="L100" t="s">
        <v>33</v>
      </c>
      <c r="M100" s="7">
        <f>Sheet1[[#This Row],[Quantity]]*Sheet1[[#This Row],[Unit Price]]*(1 - Sheet1[[#This Row],[Discount]])</f>
        <v>1102.5</v>
      </c>
      <c r="N100" s="7">
        <f>Sheet1[[#This Row],[Sales]]-Sheet1[[#This Row],[Profit]]</f>
        <v>783.5</v>
      </c>
    </row>
    <row r="101" spans="1:14" x14ac:dyDescent="0.2">
      <c r="A101">
        <v>1337</v>
      </c>
      <c r="B101" s="8">
        <v>44661</v>
      </c>
      <c r="C101" t="s">
        <v>16</v>
      </c>
      <c r="D101" t="s">
        <v>23</v>
      </c>
      <c r="E101" t="s">
        <v>25</v>
      </c>
      <c r="F101" t="s">
        <v>29</v>
      </c>
      <c r="G101">
        <v>7</v>
      </c>
      <c r="H101">
        <v>292</v>
      </c>
      <c r="I101">
        <v>0.1</v>
      </c>
      <c r="J101" s="7">
        <f>Sheet1[[#This Row],[Quantity]]*Sheet1[[#This Row],[Unit Price]]*(1-Sheet1[[#This Row],[Discount]])</f>
        <v>1839.6000000000001</v>
      </c>
      <c r="K101">
        <v>118</v>
      </c>
      <c r="L101" t="s">
        <v>32</v>
      </c>
      <c r="M101" s="7">
        <f>Sheet1[[#This Row],[Quantity]]*Sheet1[[#This Row],[Unit Price]]*(1 - Sheet1[[#This Row],[Discount]])</f>
        <v>1839.6000000000001</v>
      </c>
      <c r="N101" s="7">
        <f>Sheet1[[#This Row],[Sales]]-Sheet1[[#This Row],[Profit]]</f>
        <v>1721.6000000000001</v>
      </c>
    </row>
    <row r="102" spans="1:14" x14ac:dyDescent="0.2">
      <c r="A102">
        <v>1878</v>
      </c>
      <c r="B102" s="8">
        <v>44662</v>
      </c>
      <c r="C102" t="s">
        <v>16</v>
      </c>
      <c r="D102" t="s">
        <v>23</v>
      </c>
      <c r="E102" t="s">
        <v>25</v>
      </c>
      <c r="F102" t="s">
        <v>29</v>
      </c>
      <c r="G102">
        <v>9</v>
      </c>
      <c r="H102">
        <v>401</v>
      </c>
      <c r="I102">
        <v>0.3</v>
      </c>
      <c r="J102" s="7">
        <f>Sheet1[[#This Row],[Quantity]]*Sheet1[[#This Row],[Unit Price]]*(1-Sheet1[[#This Row],[Discount]])</f>
        <v>2526.2999999999997</v>
      </c>
      <c r="K102">
        <v>305</v>
      </c>
      <c r="L102" t="s">
        <v>32</v>
      </c>
      <c r="M102" s="7">
        <f>Sheet1[[#This Row],[Quantity]]*Sheet1[[#This Row],[Unit Price]]*(1 - Sheet1[[#This Row],[Discount]])</f>
        <v>2526.2999999999997</v>
      </c>
      <c r="N102" s="7">
        <f>Sheet1[[#This Row],[Sales]]-Sheet1[[#This Row],[Profit]]</f>
        <v>2221.2999999999997</v>
      </c>
    </row>
    <row r="103" spans="1:14" x14ac:dyDescent="0.2">
      <c r="A103">
        <v>1791</v>
      </c>
      <c r="B103" s="8">
        <v>44663</v>
      </c>
      <c r="C103" t="s">
        <v>19</v>
      </c>
      <c r="D103" t="s">
        <v>20</v>
      </c>
      <c r="E103" t="s">
        <v>24</v>
      </c>
      <c r="F103" t="s">
        <v>27</v>
      </c>
      <c r="G103">
        <v>8</v>
      </c>
      <c r="H103">
        <v>359</v>
      </c>
      <c r="I103">
        <v>0.1</v>
      </c>
      <c r="J103" s="7">
        <f>Sheet1[[#This Row],[Quantity]]*Sheet1[[#This Row],[Unit Price]]*(1-Sheet1[[#This Row],[Discount]])</f>
        <v>2584.8000000000002</v>
      </c>
      <c r="K103">
        <v>321</v>
      </c>
      <c r="L103" t="s">
        <v>32</v>
      </c>
      <c r="M103" s="7">
        <f>Sheet1[[#This Row],[Quantity]]*Sheet1[[#This Row],[Unit Price]]*(1 - Sheet1[[#This Row],[Discount]])</f>
        <v>2584.8000000000002</v>
      </c>
      <c r="N103" s="7">
        <f>Sheet1[[#This Row],[Sales]]-Sheet1[[#This Row],[Profit]]</f>
        <v>2263.8000000000002</v>
      </c>
    </row>
    <row r="104" spans="1:14" x14ac:dyDescent="0.2">
      <c r="A104">
        <v>1921</v>
      </c>
      <c r="B104" s="8">
        <v>44664</v>
      </c>
      <c r="C104" t="s">
        <v>14</v>
      </c>
      <c r="D104" t="s">
        <v>23</v>
      </c>
      <c r="E104" t="s">
        <v>24</v>
      </c>
      <c r="F104" t="s">
        <v>27</v>
      </c>
      <c r="G104">
        <v>2</v>
      </c>
      <c r="H104">
        <v>247</v>
      </c>
      <c r="I104">
        <v>0</v>
      </c>
      <c r="J104" s="7">
        <f>Sheet1[[#This Row],[Quantity]]*Sheet1[[#This Row],[Unit Price]]*(1-Sheet1[[#This Row],[Discount]])</f>
        <v>494</v>
      </c>
      <c r="K104">
        <v>137</v>
      </c>
      <c r="L104" t="s">
        <v>32</v>
      </c>
      <c r="M104" s="7">
        <f>Sheet1[[#This Row],[Quantity]]*Sheet1[[#This Row],[Unit Price]]*(1 - Sheet1[[#This Row],[Discount]])</f>
        <v>494</v>
      </c>
      <c r="N104" s="7">
        <f>Sheet1[[#This Row],[Sales]]-Sheet1[[#This Row],[Profit]]</f>
        <v>357</v>
      </c>
    </row>
    <row r="105" spans="1:14" x14ac:dyDescent="0.2">
      <c r="A105">
        <v>1216</v>
      </c>
      <c r="B105" s="8">
        <v>44665</v>
      </c>
      <c r="C105" t="s">
        <v>15</v>
      </c>
      <c r="D105" t="s">
        <v>21</v>
      </c>
      <c r="E105" t="s">
        <v>24</v>
      </c>
      <c r="F105" t="s">
        <v>29</v>
      </c>
      <c r="G105">
        <v>7</v>
      </c>
      <c r="H105">
        <v>28</v>
      </c>
      <c r="I105">
        <v>0.1</v>
      </c>
      <c r="J105" s="7">
        <f>Sheet1[[#This Row],[Quantity]]*Sheet1[[#This Row],[Unit Price]]*(1-Sheet1[[#This Row],[Discount]])</f>
        <v>176.4</v>
      </c>
      <c r="K105">
        <v>22</v>
      </c>
      <c r="L105" t="s">
        <v>32</v>
      </c>
      <c r="M105" s="7">
        <f>Sheet1[[#This Row],[Quantity]]*Sheet1[[#This Row],[Unit Price]]*(1 - Sheet1[[#This Row],[Discount]])</f>
        <v>176.4</v>
      </c>
      <c r="N105" s="7">
        <f>Sheet1[[#This Row],[Sales]]-Sheet1[[#This Row],[Profit]]</f>
        <v>154.4</v>
      </c>
    </row>
    <row r="106" spans="1:14" x14ac:dyDescent="0.2">
      <c r="A106">
        <v>1763</v>
      </c>
      <c r="B106" s="8">
        <v>44666</v>
      </c>
      <c r="C106" t="s">
        <v>13</v>
      </c>
      <c r="D106" t="s">
        <v>23</v>
      </c>
      <c r="E106" t="s">
        <v>24</v>
      </c>
      <c r="F106" t="s">
        <v>30</v>
      </c>
      <c r="G106">
        <v>2</v>
      </c>
      <c r="H106">
        <v>185</v>
      </c>
      <c r="I106">
        <v>0.1</v>
      </c>
      <c r="J106" s="7">
        <f>Sheet1[[#This Row],[Quantity]]*Sheet1[[#This Row],[Unit Price]]*(1-Sheet1[[#This Row],[Discount]])</f>
        <v>333</v>
      </c>
      <c r="K106">
        <v>44</v>
      </c>
      <c r="L106" t="s">
        <v>32</v>
      </c>
      <c r="M106" s="7">
        <f>Sheet1[[#This Row],[Quantity]]*Sheet1[[#This Row],[Unit Price]]*(1 - Sheet1[[#This Row],[Discount]])</f>
        <v>333</v>
      </c>
      <c r="N106" s="7">
        <f>Sheet1[[#This Row],[Sales]]-Sheet1[[#This Row],[Profit]]</f>
        <v>289</v>
      </c>
    </row>
    <row r="107" spans="1:14" x14ac:dyDescent="0.2">
      <c r="A107">
        <v>1187</v>
      </c>
      <c r="B107" s="8">
        <v>44667</v>
      </c>
      <c r="C107" t="s">
        <v>17</v>
      </c>
      <c r="D107" t="s">
        <v>21</v>
      </c>
      <c r="E107" t="s">
        <v>24</v>
      </c>
      <c r="F107" t="s">
        <v>31</v>
      </c>
      <c r="G107">
        <v>4</v>
      </c>
      <c r="H107">
        <v>451</v>
      </c>
      <c r="I107">
        <v>0.1</v>
      </c>
      <c r="J107" s="7">
        <f>Sheet1[[#This Row],[Quantity]]*Sheet1[[#This Row],[Unit Price]]*(1-Sheet1[[#This Row],[Discount]])</f>
        <v>1623.6000000000001</v>
      </c>
      <c r="K107">
        <v>389</v>
      </c>
      <c r="L107" t="s">
        <v>32</v>
      </c>
      <c r="M107" s="7">
        <f>Sheet1[[#This Row],[Quantity]]*Sheet1[[#This Row],[Unit Price]]*(1 - Sheet1[[#This Row],[Discount]])</f>
        <v>1623.6000000000001</v>
      </c>
      <c r="N107" s="7">
        <f>Sheet1[[#This Row],[Sales]]-Sheet1[[#This Row],[Profit]]</f>
        <v>1234.6000000000001</v>
      </c>
    </row>
    <row r="108" spans="1:14" x14ac:dyDescent="0.2">
      <c r="A108">
        <v>1379</v>
      </c>
      <c r="B108" s="8">
        <v>44668</v>
      </c>
      <c r="C108" t="s">
        <v>15</v>
      </c>
      <c r="D108" t="s">
        <v>22</v>
      </c>
      <c r="E108" t="s">
        <v>24</v>
      </c>
      <c r="F108" t="s">
        <v>31</v>
      </c>
      <c r="G108">
        <v>7</v>
      </c>
      <c r="H108">
        <v>463</v>
      </c>
      <c r="I108">
        <v>0</v>
      </c>
      <c r="J108" s="7">
        <f>Sheet1[[#This Row],[Quantity]]*Sheet1[[#This Row],[Unit Price]]*(1-Sheet1[[#This Row],[Discount]])</f>
        <v>3241</v>
      </c>
      <c r="K108">
        <v>526</v>
      </c>
      <c r="L108" t="s">
        <v>32</v>
      </c>
      <c r="M108" s="7">
        <f>Sheet1[[#This Row],[Quantity]]*Sheet1[[#This Row],[Unit Price]]*(1 - Sheet1[[#This Row],[Discount]])</f>
        <v>3241</v>
      </c>
      <c r="N108" s="7">
        <f>Sheet1[[#This Row],[Sales]]-Sheet1[[#This Row],[Profit]]</f>
        <v>2715</v>
      </c>
    </row>
    <row r="109" spans="1:14" x14ac:dyDescent="0.2">
      <c r="A109">
        <v>1492</v>
      </c>
      <c r="B109" s="8">
        <v>44669</v>
      </c>
      <c r="C109" t="s">
        <v>19</v>
      </c>
      <c r="D109" t="s">
        <v>21</v>
      </c>
      <c r="E109" t="s">
        <v>24</v>
      </c>
      <c r="F109" t="s">
        <v>31</v>
      </c>
      <c r="G109">
        <v>3</v>
      </c>
      <c r="H109">
        <v>338</v>
      </c>
      <c r="I109">
        <v>0.1</v>
      </c>
      <c r="J109" s="7">
        <f>Sheet1[[#This Row],[Quantity]]*Sheet1[[#This Row],[Unit Price]]*(1-Sheet1[[#This Row],[Discount]])</f>
        <v>912.6</v>
      </c>
      <c r="K109">
        <v>223</v>
      </c>
      <c r="L109" t="s">
        <v>32</v>
      </c>
      <c r="M109" s="7">
        <f>Sheet1[[#This Row],[Quantity]]*Sheet1[[#This Row],[Unit Price]]*(1 - Sheet1[[#This Row],[Discount]])</f>
        <v>912.6</v>
      </c>
      <c r="N109" s="7">
        <f>Sheet1[[#This Row],[Sales]]-Sheet1[[#This Row],[Profit]]</f>
        <v>689.6</v>
      </c>
    </row>
    <row r="110" spans="1:14" x14ac:dyDescent="0.2">
      <c r="A110">
        <v>1040</v>
      </c>
      <c r="B110" s="8">
        <v>44670</v>
      </c>
      <c r="C110" t="s">
        <v>13</v>
      </c>
      <c r="D110" t="s">
        <v>22</v>
      </c>
      <c r="E110" t="s">
        <v>25</v>
      </c>
      <c r="F110" t="s">
        <v>27</v>
      </c>
      <c r="G110">
        <v>2</v>
      </c>
      <c r="H110">
        <v>233</v>
      </c>
      <c r="I110">
        <v>0.2</v>
      </c>
      <c r="J110" s="7">
        <f>Sheet1[[#This Row],[Quantity]]*Sheet1[[#This Row],[Unit Price]]*(1-Sheet1[[#This Row],[Discount]])</f>
        <v>372.8</v>
      </c>
      <c r="K110">
        <v>25</v>
      </c>
      <c r="L110" t="s">
        <v>32</v>
      </c>
      <c r="M110" s="7">
        <f>Sheet1[[#This Row],[Quantity]]*Sheet1[[#This Row],[Unit Price]]*(1 - Sheet1[[#This Row],[Discount]])</f>
        <v>372.8</v>
      </c>
      <c r="N110" s="7">
        <f>Sheet1[[#This Row],[Sales]]-Sheet1[[#This Row],[Profit]]</f>
        <v>347.8</v>
      </c>
    </row>
    <row r="111" spans="1:14" x14ac:dyDescent="0.2">
      <c r="A111">
        <v>1156</v>
      </c>
      <c r="B111" s="8">
        <v>44671</v>
      </c>
      <c r="C111" t="s">
        <v>19</v>
      </c>
      <c r="D111" t="s">
        <v>21</v>
      </c>
      <c r="E111" t="s">
        <v>25</v>
      </c>
      <c r="F111" t="s">
        <v>27</v>
      </c>
      <c r="G111">
        <v>7</v>
      </c>
      <c r="H111">
        <v>136</v>
      </c>
      <c r="I111">
        <v>0.1</v>
      </c>
      <c r="J111" s="7">
        <f>Sheet1[[#This Row],[Quantity]]*Sheet1[[#This Row],[Unit Price]]*(1-Sheet1[[#This Row],[Discount]])</f>
        <v>856.80000000000007</v>
      </c>
      <c r="K111">
        <v>147</v>
      </c>
      <c r="L111" t="s">
        <v>32</v>
      </c>
      <c r="M111" s="7">
        <f>Sheet1[[#This Row],[Quantity]]*Sheet1[[#This Row],[Unit Price]]*(1 - Sheet1[[#This Row],[Discount]])</f>
        <v>856.80000000000007</v>
      </c>
      <c r="N111" s="7">
        <f>Sheet1[[#This Row],[Sales]]-Sheet1[[#This Row],[Profit]]</f>
        <v>709.80000000000007</v>
      </c>
    </row>
    <row r="112" spans="1:14" x14ac:dyDescent="0.2">
      <c r="A112">
        <v>1812</v>
      </c>
      <c r="B112" s="8">
        <v>44672</v>
      </c>
      <c r="C112" t="s">
        <v>13</v>
      </c>
      <c r="D112" t="s">
        <v>21</v>
      </c>
      <c r="E112" t="s">
        <v>25</v>
      </c>
      <c r="F112" t="s">
        <v>31</v>
      </c>
      <c r="G112">
        <v>8</v>
      </c>
      <c r="H112">
        <v>363</v>
      </c>
      <c r="I112">
        <v>0.1</v>
      </c>
      <c r="J112" s="7">
        <f>Sheet1[[#This Row],[Quantity]]*Sheet1[[#This Row],[Unit Price]]*(1-Sheet1[[#This Row],[Discount]])</f>
        <v>2613.6</v>
      </c>
      <c r="K112">
        <v>172</v>
      </c>
      <c r="L112" t="s">
        <v>33</v>
      </c>
      <c r="M112" s="7">
        <f>Sheet1[[#This Row],[Quantity]]*Sheet1[[#This Row],[Unit Price]]*(1 - Sheet1[[#This Row],[Discount]])</f>
        <v>2613.6</v>
      </c>
      <c r="N112" s="7">
        <f>Sheet1[[#This Row],[Sales]]-Sheet1[[#This Row],[Profit]]</f>
        <v>2441.6</v>
      </c>
    </row>
    <row r="113" spans="1:14" x14ac:dyDescent="0.2">
      <c r="A113">
        <v>1064</v>
      </c>
      <c r="B113" s="8">
        <v>44673</v>
      </c>
      <c r="C113" t="s">
        <v>16</v>
      </c>
      <c r="D113" t="s">
        <v>20</v>
      </c>
      <c r="E113" t="s">
        <v>24</v>
      </c>
      <c r="F113" t="s">
        <v>31</v>
      </c>
      <c r="G113">
        <v>3</v>
      </c>
      <c r="H113">
        <v>91</v>
      </c>
      <c r="I113">
        <v>0</v>
      </c>
      <c r="J113" s="7">
        <f>Sheet1[[#This Row],[Quantity]]*Sheet1[[#This Row],[Unit Price]]*(1-Sheet1[[#This Row],[Discount]])</f>
        <v>273</v>
      </c>
      <c r="K113">
        <v>76</v>
      </c>
      <c r="L113" t="s">
        <v>32</v>
      </c>
      <c r="M113" s="7">
        <f>Sheet1[[#This Row],[Quantity]]*Sheet1[[#This Row],[Unit Price]]*(1 - Sheet1[[#This Row],[Discount]])</f>
        <v>273</v>
      </c>
      <c r="N113" s="7">
        <f>Sheet1[[#This Row],[Sales]]-Sheet1[[#This Row],[Profit]]</f>
        <v>197</v>
      </c>
    </row>
    <row r="114" spans="1:14" x14ac:dyDescent="0.2">
      <c r="A114">
        <v>1838</v>
      </c>
      <c r="B114" s="8">
        <v>44674</v>
      </c>
      <c r="C114" t="s">
        <v>15</v>
      </c>
      <c r="D114" t="s">
        <v>21</v>
      </c>
      <c r="E114" t="s">
        <v>24</v>
      </c>
      <c r="F114" t="s">
        <v>27</v>
      </c>
      <c r="G114">
        <v>3</v>
      </c>
      <c r="H114">
        <v>83</v>
      </c>
      <c r="I114">
        <v>0</v>
      </c>
      <c r="J114" s="7">
        <f>Sheet1[[#This Row],[Quantity]]*Sheet1[[#This Row],[Unit Price]]*(1-Sheet1[[#This Row],[Discount]])</f>
        <v>249</v>
      </c>
      <c r="K114">
        <v>46</v>
      </c>
      <c r="L114" t="s">
        <v>33</v>
      </c>
      <c r="M114" s="7">
        <f>Sheet1[[#This Row],[Quantity]]*Sheet1[[#This Row],[Unit Price]]*(1 - Sheet1[[#This Row],[Discount]])</f>
        <v>249</v>
      </c>
      <c r="N114" s="7">
        <f>Sheet1[[#This Row],[Sales]]-Sheet1[[#This Row],[Profit]]</f>
        <v>203</v>
      </c>
    </row>
    <row r="115" spans="1:14" x14ac:dyDescent="0.2">
      <c r="A115">
        <v>1520</v>
      </c>
      <c r="B115" s="8">
        <v>44675</v>
      </c>
      <c r="C115" t="s">
        <v>13</v>
      </c>
      <c r="D115" t="s">
        <v>20</v>
      </c>
      <c r="E115" t="s">
        <v>26</v>
      </c>
      <c r="F115" t="s">
        <v>31</v>
      </c>
      <c r="G115">
        <v>5</v>
      </c>
      <c r="H115">
        <v>224</v>
      </c>
      <c r="I115">
        <v>0.3</v>
      </c>
      <c r="J115" s="7">
        <f>Sheet1[[#This Row],[Quantity]]*Sheet1[[#This Row],[Unit Price]]*(1-Sheet1[[#This Row],[Discount]])</f>
        <v>784</v>
      </c>
      <c r="K115">
        <v>120</v>
      </c>
      <c r="L115" t="s">
        <v>32</v>
      </c>
      <c r="M115" s="7">
        <f>Sheet1[[#This Row],[Quantity]]*Sheet1[[#This Row],[Unit Price]]*(1 - Sheet1[[#This Row],[Discount]])</f>
        <v>784</v>
      </c>
      <c r="N115" s="7">
        <f>Sheet1[[#This Row],[Sales]]-Sheet1[[#This Row],[Profit]]</f>
        <v>664</v>
      </c>
    </row>
    <row r="116" spans="1:14" x14ac:dyDescent="0.2">
      <c r="A116">
        <v>1128</v>
      </c>
      <c r="B116" s="8">
        <v>44676</v>
      </c>
      <c r="C116" t="s">
        <v>14</v>
      </c>
      <c r="D116" t="s">
        <v>23</v>
      </c>
      <c r="E116" t="s">
        <v>24</v>
      </c>
      <c r="F116" t="s">
        <v>30</v>
      </c>
      <c r="G116">
        <v>7</v>
      </c>
      <c r="H116">
        <v>91</v>
      </c>
      <c r="I116">
        <v>0</v>
      </c>
      <c r="J116" s="7">
        <f>Sheet1[[#This Row],[Quantity]]*Sheet1[[#This Row],[Unit Price]]*(1-Sheet1[[#This Row],[Discount]])</f>
        <v>637</v>
      </c>
      <c r="K116">
        <v>175</v>
      </c>
      <c r="L116" t="s">
        <v>32</v>
      </c>
      <c r="M116" s="7">
        <f>Sheet1[[#This Row],[Quantity]]*Sheet1[[#This Row],[Unit Price]]*(1 - Sheet1[[#This Row],[Discount]])</f>
        <v>637</v>
      </c>
      <c r="N116" s="7">
        <f>Sheet1[[#This Row],[Sales]]-Sheet1[[#This Row],[Profit]]</f>
        <v>462</v>
      </c>
    </row>
    <row r="117" spans="1:14" x14ac:dyDescent="0.2">
      <c r="A117">
        <v>1647</v>
      </c>
      <c r="B117" s="8">
        <v>44677</v>
      </c>
      <c r="C117" t="s">
        <v>19</v>
      </c>
      <c r="D117" t="s">
        <v>21</v>
      </c>
      <c r="E117" t="s">
        <v>25</v>
      </c>
      <c r="F117" t="s">
        <v>31</v>
      </c>
      <c r="G117">
        <v>7</v>
      </c>
      <c r="H117">
        <v>296</v>
      </c>
      <c r="I117">
        <v>0.3</v>
      </c>
      <c r="J117" s="7">
        <f>Sheet1[[#This Row],[Quantity]]*Sheet1[[#This Row],[Unit Price]]*(1-Sheet1[[#This Row],[Discount]])</f>
        <v>1450.3999999999999</v>
      </c>
      <c r="K117">
        <v>80</v>
      </c>
      <c r="L117" t="s">
        <v>32</v>
      </c>
      <c r="M117" s="7">
        <f>Sheet1[[#This Row],[Quantity]]*Sheet1[[#This Row],[Unit Price]]*(1 - Sheet1[[#This Row],[Discount]])</f>
        <v>1450.3999999999999</v>
      </c>
      <c r="N117" s="7">
        <f>Sheet1[[#This Row],[Sales]]-Sheet1[[#This Row],[Profit]]</f>
        <v>1370.3999999999999</v>
      </c>
    </row>
    <row r="118" spans="1:14" x14ac:dyDescent="0.2">
      <c r="A118">
        <v>1062</v>
      </c>
      <c r="B118" s="8">
        <v>44678</v>
      </c>
      <c r="C118" t="s">
        <v>19</v>
      </c>
      <c r="D118" t="s">
        <v>21</v>
      </c>
      <c r="E118" t="s">
        <v>25</v>
      </c>
      <c r="F118" t="s">
        <v>30</v>
      </c>
      <c r="G118">
        <v>8</v>
      </c>
      <c r="H118">
        <v>497</v>
      </c>
      <c r="I118">
        <v>0</v>
      </c>
      <c r="J118" s="7">
        <f>Sheet1[[#This Row],[Quantity]]*Sheet1[[#This Row],[Unit Price]]*(1-Sheet1[[#This Row],[Discount]])</f>
        <v>3976</v>
      </c>
      <c r="K118">
        <v>1156</v>
      </c>
      <c r="L118" t="s">
        <v>32</v>
      </c>
      <c r="M118" s="7">
        <f>Sheet1[[#This Row],[Quantity]]*Sheet1[[#This Row],[Unit Price]]*(1 - Sheet1[[#This Row],[Discount]])</f>
        <v>3976</v>
      </c>
      <c r="N118" s="7">
        <f>Sheet1[[#This Row],[Sales]]-Sheet1[[#This Row],[Profit]]</f>
        <v>2820</v>
      </c>
    </row>
    <row r="119" spans="1:14" x14ac:dyDescent="0.2">
      <c r="A119">
        <v>1138</v>
      </c>
      <c r="B119" s="8">
        <v>44679</v>
      </c>
      <c r="C119" t="s">
        <v>14</v>
      </c>
      <c r="D119" t="s">
        <v>22</v>
      </c>
      <c r="E119" t="s">
        <v>26</v>
      </c>
      <c r="F119" t="s">
        <v>29</v>
      </c>
      <c r="G119">
        <v>1</v>
      </c>
      <c r="H119">
        <v>339</v>
      </c>
      <c r="I119">
        <v>0.2</v>
      </c>
      <c r="J119" s="7">
        <f>Sheet1[[#This Row],[Quantity]]*Sheet1[[#This Row],[Unit Price]]*(1-Sheet1[[#This Row],[Discount]])</f>
        <v>271.2</v>
      </c>
      <c r="K119">
        <v>52</v>
      </c>
      <c r="L119" t="s">
        <v>32</v>
      </c>
      <c r="M119" s="7">
        <f>Sheet1[[#This Row],[Quantity]]*Sheet1[[#This Row],[Unit Price]]*(1 - Sheet1[[#This Row],[Discount]])</f>
        <v>271.2</v>
      </c>
      <c r="N119" s="7">
        <f>Sheet1[[#This Row],[Sales]]-Sheet1[[#This Row],[Profit]]</f>
        <v>219.2</v>
      </c>
    </row>
    <row r="120" spans="1:14" x14ac:dyDescent="0.2">
      <c r="A120">
        <v>1498</v>
      </c>
      <c r="B120" s="8">
        <v>44680</v>
      </c>
      <c r="C120" t="s">
        <v>16</v>
      </c>
      <c r="D120" t="s">
        <v>22</v>
      </c>
      <c r="E120" t="s">
        <v>26</v>
      </c>
      <c r="F120" t="s">
        <v>30</v>
      </c>
      <c r="G120">
        <v>4</v>
      </c>
      <c r="H120">
        <v>357</v>
      </c>
      <c r="I120">
        <v>0.1</v>
      </c>
      <c r="J120" s="7">
        <f>Sheet1[[#This Row],[Quantity]]*Sheet1[[#This Row],[Unit Price]]*(1-Sheet1[[#This Row],[Discount]])</f>
        <v>1285.2</v>
      </c>
      <c r="K120">
        <v>406</v>
      </c>
      <c r="L120" t="s">
        <v>32</v>
      </c>
      <c r="M120" s="7">
        <f>Sheet1[[#This Row],[Quantity]]*Sheet1[[#This Row],[Unit Price]]*(1 - Sheet1[[#This Row],[Discount]])</f>
        <v>1285.2</v>
      </c>
      <c r="N120" s="7">
        <f>Sheet1[[#This Row],[Sales]]-Sheet1[[#This Row],[Profit]]</f>
        <v>879.2</v>
      </c>
    </row>
    <row r="121" spans="1:14" x14ac:dyDescent="0.2">
      <c r="A121">
        <v>1592</v>
      </c>
      <c r="B121" s="8">
        <v>44681</v>
      </c>
      <c r="C121" t="s">
        <v>13</v>
      </c>
      <c r="D121" t="s">
        <v>21</v>
      </c>
      <c r="E121" t="s">
        <v>26</v>
      </c>
      <c r="F121" t="s">
        <v>28</v>
      </c>
      <c r="G121">
        <v>6</v>
      </c>
      <c r="H121">
        <v>385</v>
      </c>
      <c r="I121">
        <v>0.1</v>
      </c>
      <c r="J121" s="7">
        <f>Sheet1[[#This Row],[Quantity]]*Sheet1[[#This Row],[Unit Price]]*(1-Sheet1[[#This Row],[Discount]])</f>
        <v>2079</v>
      </c>
      <c r="K121">
        <v>146</v>
      </c>
      <c r="L121" t="s">
        <v>32</v>
      </c>
      <c r="M121" s="7">
        <f>Sheet1[[#This Row],[Quantity]]*Sheet1[[#This Row],[Unit Price]]*(1 - Sheet1[[#This Row],[Discount]])</f>
        <v>2079</v>
      </c>
      <c r="N121" s="7">
        <f>Sheet1[[#This Row],[Sales]]-Sheet1[[#This Row],[Profit]]</f>
        <v>1933</v>
      </c>
    </row>
    <row r="122" spans="1:14" x14ac:dyDescent="0.2">
      <c r="A122">
        <v>1391</v>
      </c>
      <c r="B122" s="8">
        <v>44682</v>
      </c>
      <c r="C122" t="s">
        <v>15</v>
      </c>
      <c r="D122" t="s">
        <v>23</v>
      </c>
      <c r="E122" t="s">
        <v>24</v>
      </c>
      <c r="F122" t="s">
        <v>28</v>
      </c>
      <c r="G122">
        <v>9</v>
      </c>
      <c r="H122">
        <v>114</v>
      </c>
      <c r="I122">
        <v>0</v>
      </c>
      <c r="J122" s="7">
        <f>Sheet1[[#This Row],[Quantity]]*Sheet1[[#This Row],[Unit Price]]*(1-Sheet1[[#This Row],[Discount]])</f>
        <v>1026</v>
      </c>
      <c r="K122">
        <v>159</v>
      </c>
      <c r="L122" t="s">
        <v>32</v>
      </c>
      <c r="M122" s="7">
        <f>Sheet1[[#This Row],[Quantity]]*Sheet1[[#This Row],[Unit Price]]*(1 - Sheet1[[#This Row],[Discount]])</f>
        <v>1026</v>
      </c>
      <c r="N122" s="7">
        <f>Sheet1[[#This Row],[Sales]]-Sheet1[[#This Row],[Profit]]</f>
        <v>867</v>
      </c>
    </row>
    <row r="123" spans="1:14" x14ac:dyDescent="0.2">
      <c r="A123">
        <v>1674</v>
      </c>
      <c r="B123" s="8">
        <v>44683</v>
      </c>
      <c r="C123" t="s">
        <v>19</v>
      </c>
      <c r="D123" t="s">
        <v>23</v>
      </c>
      <c r="E123" t="s">
        <v>26</v>
      </c>
      <c r="F123" t="s">
        <v>27</v>
      </c>
      <c r="G123">
        <v>2</v>
      </c>
      <c r="H123">
        <v>185</v>
      </c>
      <c r="I123">
        <v>0.1</v>
      </c>
      <c r="J123" s="7">
        <f>Sheet1[[#This Row],[Quantity]]*Sheet1[[#This Row],[Unit Price]]*(1-Sheet1[[#This Row],[Discount]])</f>
        <v>333</v>
      </c>
      <c r="K123">
        <v>38</v>
      </c>
      <c r="L123" t="s">
        <v>33</v>
      </c>
      <c r="M123" s="7">
        <f>Sheet1[[#This Row],[Quantity]]*Sheet1[[#This Row],[Unit Price]]*(1 - Sheet1[[#This Row],[Discount]])</f>
        <v>333</v>
      </c>
      <c r="N123" s="7">
        <f>Sheet1[[#This Row],[Sales]]-Sheet1[[#This Row],[Profit]]</f>
        <v>295</v>
      </c>
    </row>
    <row r="124" spans="1:14" x14ac:dyDescent="0.2">
      <c r="A124">
        <v>1418</v>
      </c>
      <c r="B124" s="8">
        <v>44684</v>
      </c>
      <c r="C124" t="s">
        <v>19</v>
      </c>
      <c r="D124" t="s">
        <v>21</v>
      </c>
      <c r="E124" t="s">
        <v>24</v>
      </c>
      <c r="F124" t="s">
        <v>31</v>
      </c>
      <c r="G124">
        <v>1</v>
      </c>
      <c r="H124">
        <v>51</v>
      </c>
      <c r="I124">
        <v>0.3</v>
      </c>
      <c r="J124" s="7">
        <f>Sheet1[[#This Row],[Quantity]]*Sheet1[[#This Row],[Unit Price]]*(1-Sheet1[[#This Row],[Discount]])</f>
        <v>35.699999999999996</v>
      </c>
      <c r="K124">
        <v>8</v>
      </c>
      <c r="L124" t="s">
        <v>32</v>
      </c>
      <c r="M124" s="7">
        <f>Sheet1[[#This Row],[Quantity]]*Sheet1[[#This Row],[Unit Price]]*(1 - Sheet1[[#This Row],[Discount]])</f>
        <v>35.699999999999996</v>
      </c>
      <c r="N124" s="7">
        <f>Sheet1[[#This Row],[Sales]]-Sheet1[[#This Row],[Profit]]</f>
        <v>27.699999999999996</v>
      </c>
    </row>
    <row r="125" spans="1:14" x14ac:dyDescent="0.2">
      <c r="A125">
        <v>1288</v>
      </c>
      <c r="B125" s="8">
        <v>44685</v>
      </c>
      <c r="C125" t="s">
        <v>15</v>
      </c>
      <c r="D125" t="s">
        <v>21</v>
      </c>
      <c r="E125" t="s">
        <v>26</v>
      </c>
      <c r="F125" t="s">
        <v>27</v>
      </c>
      <c r="G125">
        <v>2</v>
      </c>
      <c r="H125">
        <v>30</v>
      </c>
      <c r="I125">
        <v>0.1</v>
      </c>
      <c r="J125" s="7">
        <f>Sheet1[[#This Row],[Quantity]]*Sheet1[[#This Row],[Unit Price]]*(1-Sheet1[[#This Row],[Discount]])</f>
        <v>54</v>
      </c>
      <c r="K125">
        <v>16</v>
      </c>
      <c r="L125" t="s">
        <v>32</v>
      </c>
      <c r="M125" s="7">
        <f>Sheet1[[#This Row],[Quantity]]*Sheet1[[#This Row],[Unit Price]]*(1 - Sheet1[[#This Row],[Discount]])</f>
        <v>54</v>
      </c>
      <c r="N125" s="7">
        <f>Sheet1[[#This Row],[Sales]]-Sheet1[[#This Row],[Profit]]</f>
        <v>38</v>
      </c>
    </row>
    <row r="126" spans="1:14" x14ac:dyDescent="0.2">
      <c r="A126">
        <v>1378</v>
      </c>
      <c r="B126" s="8">
        <v>44686</v>
      </c>
      <c r="C126" t="s">
        <v>14</v>
      </c>
      <c r="D126" t="s">
        <v>22</v>
      </c>
      <c r="E126" t="s">
        <v>26</v>
      </c>
      <c r="F126" t="s">
        <v>27</v>
      </c>
      <c r="G126">
        <v>7</v>
      </c>
      <c r="H126">
        <v>320</v>
      </c>
      <c r="I126">
        <v>0.1</v>
      </c>
      <c r="J126" s="7">
        <f>Sheet1[[#This Row],[Quantity]]*Sheet1[[#This Row],[Unit Price]]*(1-Sheet1[[#This Row],[Discount]])</f>
        <v>2016</v>
      </c>
      <c r="K126">
        <v>230</v>
      </c>
      <c r="L126" t="s">
        <v>32</v>
      </c>
      <c r="M126" s="7">
        <f>Sheet1[[#This Row],[Quantity]]*Sheet1[[#This Row],[Unit Price]]*(1 - Sheet1[[#This Row],[Discount]])</f>
        <v>2016</v>
      </c>
      <c r="N126" s="7">
        <f>Sheet1[[#This Row],[Sales]]-Sheet1[[#This Row],[Profit]]</f>
        <v>1786</v>
      </c>
    </row>
    <row r="127" spans="1:14" x14ac:dyDescent="0.2">
      <c r="A127">
        <v>1772</v>
      </c>
      <c r="B127" s="8">
        <v>44687</v>
      </c>
      <c r="C127" t="s">
        <v>19</v>
      </c>
      <c r="D127" t="s">
        <v>23</v>
      </c>
      <c r="E127" t="s">
        <v>24</v>
      </c>
      <c r="F127" t="s">
        <v>27</v>
      </c>
      <c r="G127">
        <v>3</v>
      </c>
      <c r="H127">
        <v>236</v>
      </c>
      <c r="I127">
        <v>0</v>
      </c>
      <c r="J127" s="7">
        <f>Sheet1[[#This Row],[Quantity]]*Sheet1[[#This Row],[Unit Price]]*(1-Sheet1[[#This Row],[Discount]])</f>
        <v>708</v>
      </c>
      <c r="K127">
        <v>151</v>
      </c>
      <c r="L127" t="s">
        <v>32</v>
      </c>
      <c r="M127" s="7">
        <f>Sheet1[[#This Row],[Quantity]]*Sheet1[[#This Row],[Unit Price]]*(1 - Sheet1[[#This Row],[Discount]])</f>
        <v>708</v>
      </c>
      <c r="N127" s="7">
        <f>Sheet1[[#This Row],[Sales]]-Sheet1[[#This Row],[Profit]]</f>
        <v>557</v>
      </c>
    </row>
    <row r="128" spans="1:14" x14ac:dyDescent="0.2">
      <c r="A128">
        <v>1489</v>
      </c>
      <c r="B128" s="8">
        <v>44688</v>
      </c>
      <c r="C128" t="s">
        <v>17</v>
      </c>
      <c r="D128" t="s">
        <v>21</v>
      </c>
      <c r="E128" t="s">
        <v>24</v>
      </c>
      <c r="F128" t="s">
        <v>27</v>
      </c>
      <c r="G128">
        <v>2</v>
      </c>
      <c r="H128">
        <v>308</v>
      </c>
      <c r="I128">
        <v>0</v>
      </c>
      <c r="J128" s="7">
        <f>Sheet1[[#This Row],[Quantity]]*Sheet1[[#This Row],[Unit Price]]*(1-Sheet1[[#This Row],[Discount]])</f>
        <v>616</v>
      </c>
      <c r="K128">
        <v>61</v>
      </c>
      <c r="L128" t="s">
        <v>32</v>
      </c>
      <c r="M128" s="7">
        <f>Sheet1[[#This Row],[Quantity]]*Sheet1[[#This Row],[Unit Price]]*(1 - Sheet1[[#This Row],[Discount]])</f>
        <v>616</v>
      </c>
      <c r="N128" s="7">
        <f>Sheet1[[#This Row],[Sales]]-Sheet1[[#This Row],[Profit]]</f>
        <v>555</v>
      </c>
    </row>
    <row r="129" spans="1:14" x14ac:dyDescent="0.2">
      <c r="A129">
        <v>1134</v>
      </c>
      <c r="B129" s="8">
        <v>44689</v>
      </c>
      <c r="C129" t="s">
        <v>13</v>
      </c>
      <c r="D129" t="s">
        <v>22</v>
      </c>
      <c r="E129" t="s">
        <v>24</v>
      </c>
      <c r="F129" t="s">
        <v>28</v>
      </c>
      <c r="G129">
        <v>7</v>
      </c>
      <c r="H129">
        <v>286</v>
      </c>
      <c r="I129">
        <v>0</v>
      </c>
      <c r="J129" s="7">
        <f>Sheet1[[#This Row],[Quantity]]*Sheet1[[#This Row],[Unit Price]]*(1-Sheet1[[#This Row],[Discount]])</f>
        <v>2002</v>
      </c>
      <c r="K129">
        <v>405</v>
      </c>
      <c r="L129" t="s">
        <v>32</v>
      </c>
      <c r="M129" s="7">
        <f>Sheet1[[#This Row],[Quantity]]*Sheet1[[#This Row],[Unit Price]]*(1 - Sheet1[[#This Row],[Discount]])</f>
        <v>2002</v>
      </c>
      <c r="N129" s="7">
        <f>Sheet1[[#This Row],[Sales]]-Sheet1[[#This Row],[Profit]]</f>
        <v>1597</v>
      </c>
    </row>
    <row r="130" spans="1:14" x14ac:dyDescent="0.2">
      <c r="A130">
        <v>1200</v>
      </c>
      <c r="B130" s="8">
        <v>44690</v>
      </c>
      <c r="C130" t="s">
        <v>17</v>
      </c>
      <c r="D130" t="s">
        <v>23</v>
      </c>
      <c r="E130" t="s">
        <v>25</v>
      </c>
      <c r="F130" t="s">
        <v>27</v>
      </c>
      <c r="G130">
        <v>4</v>
      </c>
      <c r="H130">
        <v>233</v>
      </c>
      <c r="I130">
        <v>0.1</v>
      </c>
      <c r="J130" s="7">
        <f>Sheet1[[#This Row],[Quantity]]*Sheet1[[#This Row],[Unit Price]]*(1-Sheet1[[#This Row],[Discount]])</f>
        <v>838.80000000000007</v>
      </c>
      <c r="K130">
        <v>128</v>
      </c>
      <c r="L130" t="s">
        <v>32</v>
      </c>
      <c r="M130" s="7">
        <f>Sheet1[[#This Row],[Quantity]]*Sheet1[[#This Row],[Unit Price]]*(1 - Sheet1[[#This Row],[Discount]])</f>
        <v>838.80000000000007</v>
      </c>
      <c r="N130" s="7">
        <f>Sheet1[[#This Row],[Sales]]-Sheet1[[#This Row],[Profit]]</f>
        <v>710.80000000000007</v>
      </c>
    </row>
    <row r="131" spans="1:14" x14ac:dyDescent="0.2">
      <c r="A131">
        <v>1839</v>
      </c>
      <c r="B131" s="8">
        <v>44691</v>
      </c>
      <c r="C131" t="s">
        <v>19</v>
      </c>
      <c r="D131" t="s">
        <v>23</v>
      </c>
      <c r="E131" t="s">
        <v>25</v>
      </c>
      <c r="F131" t="s">
        <v>30</v>
      </c>
      <c r="G131">
        <v>1</v>
      </c>
      <c r="H131">
        <v>198</v>
      </c>
      <c r="I131">
        <v>0.1</v>
      </c>
      <c r="J131" s="7">
        <f>Sheet1[[#This Row],[Quantity]]*Sheet1[[#This Row],[Unit Price]]*(1-Sheet1[[#This Row],[Discount]])</f>
        <v>178.20000000000002</v>
      </c>
      <c r="K131">
        <v>16</v>
      </c>
      <c r="L131" t="s">
        <v>32</v>
      </c>
      <c r="M131" s="7">
        <f>Sheet1[[#This Row],[Quantity]]*Sheet1[[#This Row],[Unit Price]]*(1 - Sheet1[[#This Row],[Discount]])</f>
        <v>178.20000000000002</v>
      </c>
      <c r="N131" s="7">
        <f>Sheet1[[#This Row],[Sales]]-Sheet1[[#This Row],[Profit]]</f>
        <v>162.20000000000002</v>
      </c>
    </row>
    <row r="132" spans="1:14" x14ac:dyDescent="0.2">
      <c r="A132">
        <v>1779</v>
      </c>
      <c r="B132" s="8">
        <v>44692</v>
      </c>
      <c r="C132" t="s">
        <v>19</v>
      </c>
      <c r="D132" t="s">
        <v>22</v>
      </c>
      <c r="E132" t="s">
        <v>25</v>
      </c>
      <c r="F132" t="s">
        <v>28</v>
      </c>
      <c r="G132">
        <v>5</v>
      </c>
      <c r="H132">
        <v>107</v>
      </c>
      <c r="I132">
        <v>0</v>
      </c>
      <c r="J132" s="7">
        <f>Sheet1[[#This Row],[Quantity]]*Sheet1[[#This Row],[Unit Price]]*(1-Sheet1[[#This Row],[Discount]])</f>
        <v>535</v>
      </c>
      <c r="K132">
        <v>47</v>
      </c>
      <c r="L132" t="s">
        <v>32</v>
      </c>
      <c r="M132" s="7">
        <f>Sheet1[[#This Row],[Quantity]]*Sheet1[[#This Row],[Unit Price]]*(1 - Sheet1[[#This Row],[Discount]])</f>
        <v>535</v>
      </c>
      <c r="N132" s="7">
        <f>Sheet1[[#This Row],[Sales]]-Sheet1[[#This Row],[Profit]]</f>
        <v>488</v>
      </c>
    </row>
    <row r="133" spans="1:14" x14ac:dyDescent="0.2">
      <c r="A133">
        <v>1929</v>
      </c>
      <c r="B133" s="8">
        <v>44693</v>
      </c>
      <c r="C133" t="s">
        <v>17</v>
      </c>
      <c r="D133" t="s">
        <v>20</v>
      </c>
      <c r="E133" t="s">
        <v>25</v>
      </c>
      <c r="F133" t="s">
        <v>31</v>
      </c>
      <c r="G133">
        <v>9</v>
      </c>
      <c r="H133">
        <v>60</v>
      </c>
      <c r="I133">
        <v>0.2</v>
      </c>
      <c r="J133" s="7">
        <f>Sheet1[[#This Row],[Quantity]]*Sheet1[[#This Row],[Unit Price]]*(1-Sheet1[[#This Row],[Discount]])</f>
        <v>432</v>
      </c>
      <c r="K133">
        <v>46</v>
      </c>
      <c r="L133" t="s">
        <v>32</v>
      </c>
      <c r="M133" s="7">
        <f>Sheet1[[#This Row],[Quantity]]*Sheet1[[#This Row],[Unit Price]]*(1 - Sheet1[[#This Row],[Discount]])</f>
        <v>432</v>
      </c>
      <c r="N133" s="7">
        <f>Sheet1[[#This Row],[Sales]]-Sheet1[[#This Row],[Profit]]</f>
        <v>386</v>
      </c>
    </row>
    <row r="134" spans="1:14" x14ac:dyDescent="0.2">
      <c r="A134">
        <v>1032</v>
      </c>
      <c r="B134" s="8">
        <v>44694</v>
      </c>
      <c r="C134" t="s">
        <v>15</v>
      </c>
      <c r="D134" t="s">
        <v>22</v>
      </c>
      <c r="E134" t="s">
        <v>25</v>
      </c>
      <c r="F134" t="s">
        <v>29</v>
      </c>
      <c r="G134">
        <v>8</v>
      </c>
      <c r="H134">
        <v>420</v>
      </c>
      <c r="I134">
        <v>0.3</v>
      </c>
      <c r="J134" s="7">
        <f>Sheet1[[#This Row],[Quantity]]*Sheet1[[#This Row],[Unit Price]]*(1-Sheet1[[#This Row],[Discount]])</f>
        <v>2352</v>
      </c>
      <c r="K134">
        <v>265</v>
      </c>
      <c r="L134" t="s">
        <v>32</v>
      </c>
      <c r="M134" s="7">
        <f>Sheet1[[#This Row],[Quantity]]*Sheet1[[#This Row],[Unit Price]]*(1 - Sheet1[[#This Row],[Discount]])</f>
        <v>2352</v>
      </c>
      <c r="N134" s="7">
        <f>Sheet1[[#This Row],[Sales]]-Sheet1[[#This Row],[Profit]]</f>
        <v>2087</v>
      </c>
    </row>
    <row r="135" spans="1:14" x14ac:dyDescent="0.2">
      <c r="A135">
        <v>1047</v>
      </c>
      <c r="B135" s="8">
        <v>44695</v>
      </c>
      <c r="C135" t="s">
        <v>16</v>
      </c>
      <c r="D135" t="s">
        <v>23</v>
      </c>
      <c r="E135" t="s">
        <v>26</v>
      </c>
      <c r="F135" t="s">
        <v>28</v>
      </c>
      <c r="G135">
        <v>9</v>
      </c>
      <c r="H135">
        <v>95</v>
      </c>
      <c r="I135">
        <v>0.1</v>
      </c>
      <c r="J135" s="7">
        <f>Sheet1[[#This Row],[Quantity]]*Sheet1[[#This Row],[Unit Price]]*(1-Sheet1[[#This Row],[Discount]])</f>
        <v>769.5</v>
      </c>
      <c r="K135">
        <v>202</v>
      </c>
      <c r="L135" t="s">
        <v>32</v>
      </c>
      <c r="M135" s="7">
        <f>Sheet1[[#This Row],[Quantity]]*Sheet1[[#This Row],[Unit Price]]*(1 - Sheet1[[#This Row],[Discount]])</f>
        <v>769.5</v>
      </c>
      <c r="N135" s="7">
        <f>Sheet1[[#This Row],[Sales]]-Sheet1[[#This Row],[Profit]]</f>
        <v>567.5</v>
      </c>
    </row>
    <row r="136" spans="1:14" x14ac:dyDescent="0.2">
      <c r="A136">
        <v>1406</v>
      </c>
      <c r="B136" s="8">
        <v>44696</v>
      </c>
      <c r="C136" t="s">
        <v>15</v>
      </c>
      <c r="D136" t="s">
        <v>21</v>
      </c>
      <c r="E136" t="s">
        <v>25</v>
      </c>
      <c r="F136" t="s">
        <v>28</v>
      </c>
      <c r="G136">
        <v>7</v>
      </c>
      <c r="H136">
        <v>65</v>
      </c>
      <c r="I136">
        <v>0.3</v>
      </c>
      <c r="J136" s="7">
        <f>Sheet1[[#This Row],[Quantity]]*Sheet1[[#This Row],[Unit Price]]*(1-Sheet1[[#This Row],[Discount]])</f>
        <v>318.5</v>
      </c>
      <c r="K136">
        <v>58</v>
      </c>
      <c r="L136" t="s">
        <v>32</v>
      </c>
      <c r="M136" s="7">
        <f>Sheet1[[#This Row],[Quantity]]*Sheet1[[#This Row],[Unit Price]]*(1 - Sheet1[[#This Row],[Discount]])</f>
        <v>318.5</v>
      </c>
      <c r="N136" s="7">
        <f>Sheet1[[#This Row],[Sales]]-Sheet1[[#This Row],[Profit]]</f>
        <v>260.5</v>
      </c>
    </row>
    <row r="137" spans="1:14" x14ac:dyDescent="0.2">
      <c r="A137">
        <v>1573</v>
      </c>
      <c r="B137" s="8">
        <v>44697</v>
      </c>
      <c r="C137" t="s">
        <v>18</v>
      </c>
      <c r="D137" t="s">
        <v>22</v>
      </c>
      <c r="E137" t="s">
        <v>25</v>
      </c>
      <c r="F137" t="s">
        <v>29</v>
      </c>
      <c r="G137">
        <v>4</v>
      </c>
      <c r="H137">
        <v>179</v>
      </c>
      <c r="I137">
        <v>0.2</v>
      </c>
      <c r="J137" s="7">
        <f>Sheet1[[#This Row],[Quantity]]*Sheet1[[#This Row],[Unit Price]]*(1-Sheet1[[#This Row],[Discount]])</f>
        <v>572.80000000000007</v>
      </c>
      <c r="K137">
        <v>45</v>
      </c>
      <c r="L137" t="s">
        <v>33</v>
      </c>
      <c r="M137" s="7">
        <f>Sheet1[[#This Row],[Quantity]]*Sheet1[[#This Row],[Unit Price]]*(1 - Sheet1[[#This Row],[Discount]])</f>
        <v>572.80000000000007</v>
      </c>
      <c r="N137" s="7">
        <f>Sheet1[[#This Row],[Sales]]-Sheet1[[#This Row],[Profit]]</f>
        <v>527.80000000000007</v>
      </c>
    </row>
    <row r="138" spans="1:14" x14ac:dyDescent="0.2">
      <c r="A138">
        <v>1727</v>
      </c>
      <c r="B138" s="8">
        <v>44698</v>
      </c>
      <c r="C138" t="s">
        <v>17</v>
      </c>
      <c r="D138" t="s">
        <v>23</v>
      </c>
      <c r="E138" t="s">
        <v>25</v>
      </c>
      <c r="F138" t="s">
        <v>29</v>
      </c>
      <c r="G138">
        <v>5</v>
      </c>
      <c r="H138">
        <v>482</v>
      </c>
      <c r="I138">
        <v>0.1</v>
      </c>
      <c r="J138" s="7">
        <f>Sheet1[[#This Row],[Quantity]]*Sheet1[[#This Row],[Unit Price]]*(1-Sheet1[[#This Row],[Discount]])</f>
        <v>2169</v>
      </c>
      <c r="K138">
        <v>575</v>
      </c>
      <c r="L138" t="s">
        <v>32</v>
      </c>
      <c r="M138" s="7">
        <f>Sheet1[[#This Row],[Quantity]]*Sheet1[[#This Row],[Unit Price]]*(1 - Sheet1[[#This Row],[Discount]])</f>
        <v>2169</v>
      </c>
      <c r="N138" s="7">
        <f>Sheet1[[#This Row],[Sales]]-Sheet1[[#This Row],[Profit]]</f>
        <v>1594</v>
      </c>
    </row>
    <row r="139" spans="1:14" x14ac:dyDescent="0.2">
      <c r="A139">
        <v>1804</v>
      </c>
      <c r="B139" s="8">
        <v>44699</v>
      </c>
      <c r="C139" t="s">
        <v>14</v>
      </c>
      <c r="D139" t="s">
        <v>21</v>
      </c>
      <c r="E139" t="s">
        <v>24</v>
      </c>
      <c r="F139" t="s">
        <v>30</v>
      </c>
      <c r="G139">
        <v>1</v>
      </c>
      <c r="H139">
        <v>99</v>
      </c>
      <c r="I139">
        <v>0.1</v>
      </c>
      <c r="J139" s="7">
        <f>Sheet1[[#This Row],[Quantity]]*Sheet1[[#This Row],[Unit Price]]*(1-Sheet1[[#This Row],[Discount]])</f>
        <v>89.100000000000009</v>
      </c>
      <c r="K139">
        <v>21</v>
      </c>
      <c r="L139" t="s">
        <v>32</v>
      </c>
      <c r="M139" s="7">
        <f>Sheet1[[#This Row],[Quantity]]*Sheet1[[#This Row],[Unit Price]]*(1 - Sheet1[[#This Row],[Discount]])</f>
        <v>89.100000000000009</v>
      </c>
      <c r="N139" s="7">
        <f>Sheet1[[#This Row],[Sales]]-Sheet1[[#This Row],[Profit]]</f>
        <v>68.100000000000009</v>
      </c>
    </row>
    <row r="140" spans="1:14" x14ac:dyDescent="0.2">
      <c r="A140">
        <v>1098</v>
      </c>
      <c r="B140" s="8">
        <v>44700</v>
      </c>
      <c r="C140" t="s">
        <v>18</v>
      </c>
      <c r="D140" t="s">
        <v>23</v>
      </c>
      <c r="E140" t="s">
        <v>26</v>
      </c>
      <c r="F140" t="s">
        <v>27</v>
      </c>
      <c r="G140">
        <v>1</v>
      </c>
      <c r="H140">
        <v>329</v>
      </c>
      <c r="I140">
        <v>0.1</v>
      </c>
      <c r="J140" s="7">
        <f>Sheet1[[#This Row],[Quantity]]*Sheet1[[#This Row],[Unit Price]]*(1-Sheet1[[#This Row],[Discount]])</f>
        <v>296.10000000000002</v>
      </c>
      <c r="K140">
        <v>22</v>
      </c>
      <c r="L140" t="s">
        <v>33</v>
      </c>
      <c r="M140" s="7">
        <f>Sheet1[[#This Row],[Quantity]]*Sheet1[[#This Row],[Unit Price]]*(1 - Sheet1[[#This Row],[Discount]])</f>
        <v>296.10000000000002</v>
      </c>
      <c r="N140" s="7">
        <f>Sheet1[[#This Row],[Sales]]-Sheet1[[#This Row],[Profit]]</f>
        <v>274.10000000000002</v>
      </c>
    </row>
    <row r="141" spans="1:14" x14ac:dyDescent="0.2">
      <c r="A141">
        <v>1683</v>
      </c>
      <c r="B141" s="8">
        <v>44701</v>
      </c>
      <c r="C141" t="s">
        <v>16</v>
      </c>
      <c r="D141" t="s">
        <v>22</v>
      </c>
      <c r="E141" t="s">
        <v>25</v>
      </c>
      <c r="F141" t="s">
        <v>28</v>
      </c>
      <c r="G141">
        <v>3</v>
      </c>
      <c r="H141">
        <v>105</v>
      </c>
      <c r="I141">
        <v>0</v>
      </c>
      <c r="J141" s="7">
        <f>Sheet1[[#This Row],[Quantity]]*Sheet1[[#This Row],[Unit Price]]*(1-Sheet1[[#This Row],[Discount]])</f>
        <v>315</v>
      </c>
      <c r="K141">
        <v>71</v>
      </c>
      <c r="L141" t="s">
        <v>32</v>
      </c>
      <c r="M141" s="7">
        <f>Sheet1[[#This Row],[Quantity]]*Sheet1[[#This Row],[Unit Price]]*(1 - Sheet1[[#This Row],[Discount]])</f>
        <v>315</v>
      </c>
      <c r="N141" s="7">
        <f>Sheet1[[#This Row],[Sales]]-Sheet1[[#This Row],[Profit]]</f>
        <v>244</v>
      </c>
    </row>
    <row r="142" spans="1:14" x14ac:dyDescent="0.2">
      <c r="A142">
        <v>1871</v>
      </c>
      <c r="B142" s="8">
        <v>44702</v>
      </c>
      <c r="C142" t="s">
        <v>14</v>
      </c>
      <c r="D142" t="s">
        <v>21</v>
      </c>
      <c r="E142" t="s">
        <v>25</v>
      </c>
      <c r="F142" t="s">
        <v>28</v>
      </c>
      <c r="G142">
        <v>8</v>
      </c>
      <c r="H142">
        <v>111</v>
      </c>
      <c r="I142">
        <v>0.2</v>
      </c>
      <c r="J142" s="7">
        <f>Sheet1[[#This Row],[Quantity]]*Sheet1[[#This Row],[Unit Price]]*(1-Sheet1[[#This Row],[Discount]])</f>
        <v>710.40000000000009</v>
      </c>
      <c r="K142">
        <v>132</v>
      </c>
      <c r="L142" t="s">
        <v>32</v>
      </c>
      <c r="M142" s="7">
        <f>Sheet1[[#This Row],[Quantity]]*Sheet1[[#This Row],[Unit Price]]*(1 - Sheet1[[#This Row],[Discount]])</f>
        <v>710.40000000000009</v>
      </c>
      <c r="N142" s="7">
        <f>Sheet1[[#This Row],[Sales]]-Sheet1[[#This Row],[Profit]]</f>
        <v>578.40000000000009</v>
      </c>
    </row>
    <row r="143" spans="1:14" x14ac:dyDescent="0.2">
      <c r="A143">
        <v>1725</v>
      </c>
      <c r="B143" s="8">
        <v>44703</v>
      </c>
      <c r="C143" t="s">
        <v>18</v>
      </c>
      <c r="D143" t="s">
        <v>23</v>
      </c>
      <c r="E143" t="s">
        <v>25</v>
      </c>
      <c r="F143" t="s">
        <v>31</v>
      </c>
      <c r="G143">
        <v>2</v>
      </c>
      <c r="H143">
        <v>167</v>
      </c>
      <c r="I143">
        <v>0.1</v>
      </c>
      <c r="J143" s="7">
        <f>Sheet1[[#This Row],[Quantity]]*Sheet1[[#This Row],[Unit Price]]*(1-Sheet1[[#This Row],[Discount]])</f>
        <v>300.60000000000002</v>
      </c>
      <c r="K143">
        <v>24</v>
      </c>
      <c r="L143" t="s">
        <v>32</v>
      </c>
      <c r="M143" s="7">
        <f>Sheet1[[#This Row],[Quantity]]*Sheet1[[#This Row],[Unit Price]]*(1 - Sheet1[[#This Row],[Discount]])</f>
        <v>300.60000000000002</v>
      </c>
      <c r="N143" s="7">
        <f>Sheet1[[#This Row],[Sales]]-Sheet1[[#This Row],[Profit]]</f>
        <v>276.60000000000002</v>
      </c>
    </row>
    <row r="144" spans="1:14" x14ac:dyDescent="0.2">
      <c r="A144">
        <v>1986</v>
      </c>
      <c r="B144" s="8">
        <v>44704</v>
      </c>
      <c r="C144" t="s">
        <v>17</v>
      </c>
      <c r="D144" t="s">
        <v>21</v>
      </c>
      <c r="E144" t="s">
        <v>26</v>
      </c>
      <c r="F144" t="s">
        <v>29</v>
      </c>
      <c r="G144">
        <v>4</v>
      </c>
      <c r="H144">
        <v>180</v>
      </c>
      <c r="I144">
        <v>0.2</v>
      </c>
      <c r="J144" s="7">
        <f>Sheet1[[#This Row],[Quantity]]*Sheet1[[#This Row],[Unit Price]]*(1-Sheet1[[#This Row],[Discount]])</f>
        <v>576</v>
      </c>
      <c r="K144">
        <v>95</v>
      </c>
      <c r="L144" t="s">
        <v>32</v>
      </c>
      <c r="M144" s="7">
        <f>Sheet1[[#This Row],[Quantity]]*Sheet1[[#This Row],[Unit Price]]*(1 - Sheet1[[#This Row],[Discount]])</f>
        <v>576</v>
      </c>
      <c r="N144" s="7">
        <f>Sheet1[[#This Row],[Sales]]-Sheet1[[#This Row],[Profit]]</f>
        <v>481</v>
      </c>
    </row>
    <row r="145" spans="1:14" x14ac:dyDescent="0.2">
      <c r="A145">
        <v>1546</v>
      </c>
      <c r="B145" s="8">
        <v>44705</v>
      </c>
      <c r="C145" t="s">
        <v>14</v>
      </c>
      <c r="D145" t="s">
        <v>22</v>
      </c>
      <c r="E145" t="s">
        <v>24</v>
      </c>
      <c r="F145" t="s">
        <v>28</v>
      </c>
      <c r="G145">
        <v>2</v>
      </c>
      <c r="H145">
        <v>221</v>
      </c>
      <c r="I145">
        <v>0</v>
      </c>
      <c r="J145" s="7">
        <f>Sheet1[[#This Row],[Quantity]]*Sheet1[[#This Row],[Unit Price]]*(1-Sheet1[[#This Row],[Discount]])</f>
        <v>442</v>
      </c>
      <c r="K145">
        <v>76</v>
      </c>
      <c r="L145" t="s">
        <v>32</v>
      </c>
      <c r="M145" s="7">
        <f>Sheet1[[#This Row],[Quantity]]*Sheet1[[#This Row],[Unit Price]]*(1 - Sheet1[[#This Row],[Discount]])</f>
        <v>442</v>
      </c>
      <c r="N145" s="7">
        <f>Sheet1[[#This Row],[Sales]]-Sheet1[[#This Row],[Profit]]</f>
        <v>366</v>
      </c>
    </row>
    <row r="146" spans="1:14" x14ac:dyDescent="0.2">
      <c r="A146">
        <v>1960</v>
      </c>
      <c r="B146" s="8">
        <v>44706</v>
      </c>
      <c r="C146" t="s">
        <v>17</v>
      </c>
      <c r="D146" t="s">
        <v>23</v>
      </c>
      <c r="E146" t="s">
        <v>26</v>
      </c>
      <c r="F146" t="s">
        <v>29</v>
      </c>
      <c r="G146">
        <v>5</v>
      </c>
      <c r="H146">
        <v>443</v>
      </c>
      <c r="I146">
        <v>0</v>
      </c>
      <c r="J146" s="7">
        <f>Sheet1[[#This Row],[Quantity]]*Sheet1[[#This Row],[Unit Price]]*(1-Sheet1[[#This Row],[Discount]])</f>
        <v>2215</v>
      </c>
      <c r="K146">
        <v>203</v>
      </c>
      <c r="L146" t="s">
        <v>33</v>
      </c>
      <c r="M146" s="7">
        <f>Sheet1[[#This Row],[Quantity]]*Sheet1[[#This Row],[Unit Price]]*(1 - Sheet1[[#This Row],[Discount]])</f>
        <v>2215</v>
      </c>
      <c r="N146" s="7">
        <f>Sheet1[[#This Row],[Sales]]-Sheet1[[#This Row],[Profit]]</f>
        <v>2012</v>
      </c>
    </row>
    <row r="147" spans="1:14" x14ac:dyDescent="0.2">
      <c r="A147">
        <v>1738</v>
      </c>
      <c r="B147" s="8">
        <v>44707</v>
      </c>
      <c r="C147" t="s">
        <v>18</v>
      </c>
      <c r="D147" t="s">
        <v>21</v>
      </c>
      <c r="E147" t="s">
        <v>24</v>
      </c>
      <c r="F147" t="s">
        <v>28</v>
      </c>
      <c r="G147">
        <v>9</v>
      </c>
      <c r="H147">
        <v>435</v>
      </c>
      <c r="I147">
        <v>0.1</v>
      </c>
      <c r="J147" s="7">
        <f>Sheet1[[#This Row],[Quantity]]*Sheet1[[#This Row],[Unit Price]]*(1-Sheet1[[#This Row],[Discount]])</f>
        <v>3523.5</v>
      </c>
      <c r="K147">
        <v>1121</v>
      </c>
      <c r="L147" t="s">
        <v>32</v>
      </c>
      <c r="M147" s="7">
        <f>Sheet1[[#This Row],[Quantity]]*Sheet1[[#This Row],[Unit Price]]*(1 - Sheet1[[#This Row],[Discount]])</f>
        <v>3523.5</v>
      </c>
      <c r="N147" s="7">
        <f>Sheet1[[#This Row],[Sales]]-Sheet1[[#This Row],[Profit]]</f>
        <v>2402.5</v>
      </c>
    </row>
    <row r="148" spans="1:14" x14ac:dyDescent="0.2">
      <c r="A148">
        <v>1942</v>
      </c>
      <c r="B148" s="8">
        <v>44708</v>
      </c>
      <c r="C148" t="s">
        <v>16</v>
      </c>
      <c r="D148" t="s">
        <v>21</v>
      </c>
      <c r="E148" t="s">
        <v>25</v>
      </c>
      <c r="F148" t="s">
        <v>27</v>
      </c>
      <c r="G148">
        <v>5</v>
      </c>
      <c r="H148">
        <v>372</v>
      </c>
      <c r="I148">
        <v>0.3</v>
      </c>
      <c r="J148" s="7">
        <f>Sheet1[[#This Row],[Quantity]]*Sheet1[[#This Row],[Unit Price]]*(1-Sheet1[[#This Row],[Discount]])</f>
        <v>1302</v>
      </c>
      <c r="K148">
        <v>283</v>
      </c>
      <c r="L148" t="s">
        <v>32</v>
      </c>
      <c r="M148" s="7">
        <f>Sheet1[[#This Row],[Quantity]]*Sheet1[[#This Row],[Unit Price]]*(1 - Sheet1[[#This Row],[Discount]])</f>
        <v>1302</v>
      </c>
      <c r="N148" s="7">
        <f>Sheet1[[#This Row],[Sales]]-Sheet1[[#This Row],[Profit]]</f>
        <v>1019</v>
      </c>
    </row>
    <row r="149" spans="1:14" x14ac:dyDescent="0.2">
      <c r="A149">
        <v>1642</v>
      </c>
      <c r="B149" s="8">
        <v>44709</v>
      </c>
      <c r="C149" t="s">
        <v>18</v>
      </c>
      <c r="D149" t="s">
        <v>20</v>
      </c>
      <c r="E149" t="s">
        <v>26</v>
      </c>
      <c r="F149" t="s">
        <v>29</v>
      </c>
      <c r="G149">
        <v>1</v>
      </c>
      <c r="H149">
        <v>244</v>
      </c>
      <c r="I149">
        <v>0.1</v>
      </c>
      <c r="J149" s="7">
        <f>Sheet1[[#This Row],[Quantity]]*Sheet1[[#This Row],[Unit Price]]*(1-Sheet1[[#This Row],[Discount]])</f>
        <v>219.6</v>
      </c>
      <c r="K149">
        <v>37</v>
      </c>
      <c r="L149" t="s">
        <v>32</v>
      </c>
      <c r="M149" s="7">
        <f>Sheet1[[#This Row],[Quantity]]*Sheet1[[#This Row],[Unit Price]]*(1 - Sheet1[[#This Row],[Discount]])</f>
        <v>219.6</v>
      </c>
      <c r="N149" s="7">
        <f>Sheet1[[#This Row],[Sales]]-Sheet1[[#This Row],[Profit]]</f>
        <v>182.6</v>
      </c>
    </row>
    <row r="150" spans="1:14" x14ac:dyDescent="0.2">
      <c r="A150">
        <v>1768</v>
      </c>
      <c r="B150" s="8">
        <v>44710</v>
      </c>
      <c r="C150" t="s">
        <v>18</v>
      </c>
      <c r="D150" t="s">
        <v>20</v>
      </c>
      <c r="E150" t="s">
        <v>24</v>
      </c>
      <c r="F150" t="s">
        <v>30</v>
      </c>
      <c r="G150">
        <v>9</v>
      </c>
      <c r="H150">
        <v>308</v>
      </c>
      <c r="I150">
        <v>0.2</v>
      </c>
      <c r="J150" s="7">
        <f>Sheet1[[#This Row],[Quantity]]*Sheet1[[#This Row],[Unit Price]]*(1-Sheet1[[#This Row],[Discount]])</f>
        <v>2217.6</v>
      </c>
      <c r="K150">
        <v>472</v>
      </c>
      <c r="L150" t="s">
        <v>32</v>
      </c>
      <c r="M150" s="7">
        <f>Sheet1[[#This Row],[Quantity]]*Sheet1[[#This Row],[Unit Price]]*(1 - Sheet1[[#This Row],[Discount]])</f>
        <v>2217.6</v>
      </c>
      <c r="N150" s="7">
        <f>Sheet1[[#This Row],[Sales]]-Sheet1[[#This Row],[Profit]]</f>
        <v>1745.6</v>
      </c>
    </row>
    <row r="151" spans="1:14" x14ac:dyDescent="0.2">
      <c r="A151">
        <v>1004</v>
      </c>
      <c r="B151" s="8">
        <v>44711</v>
      </c>
      <c r="C151" t="s">
        <v>15</v>
      </c>
      <c r="D151" t="s">
        <v>22</v>
      </c>
      <c r="E151" t="s">
        <v>24</v>
      </c>
      <c r="F151" t="s">
        <v>28</v>
      </c>
      <c r="G151">
        <v>8</v>
      </c>
      <c r="H151">
        <v>252</v>
      </c>
      <c r="I151">
        <v>0.3</v>
      </c>
      <c r="J151" s="7">
        <f>Sheet1[[#This Row],[Quantity]]*Sheet1[[#This Row],[Unit Price]]*(1-Sheet1[[#This Row],[Discount]])</f>
        <v>1411.1999999999998</v>
      </c>
      <c r="K151">
        <v>263</v>
      </c>
      <c r="L151" t="s">
        <v>32</v>
      </c>
      <c r="M151" s="7">
        <f>Sheet1[[#This Row],[Quantity]]*Sheet1[[#This Row],[Unit Price]]*(1 - Sheet1[[#This Row],[Discount]])</f>
        <v>1411.1999999999998</v>
      </c>
      <c r="N151" s="7">
        <f>Sheet1[[#This Row],[Sales]]-Sheet1[[#This Row],[Profit]]</f>
        <v>1148.1999999999998</v>
      </c>
    </row>
    <row r="152" spans="1:14" x14ac:dyDescent="0.2">
      <c r="A152">
        <v>1217</v>
      </c>
      <c r="B152" s="8">
        <v>44712</v>
      </c>
      <c r="C152" t="s">
        <v>15</v>
      </c>
      <c r="D152" t="s">
        <v>20</v>
      </c>
      <c r="E152" t="s">
        <v>26</v>
      </c>
      <c r="F152" t="s">
        <v>31</v>
      </c>
      <c r="G152">
        <v>4</v>
      </c>
      <c r="H152">
        <v>480</v>
      </c>
      <c r="I152">
        <v>0.1</v>
      </c>
      <c r="J152" s="7">
        <f>Sheet1[[#This Row],[Quantity]]*Sheet1[[#This Row],[Unit Price]]*(1-Sheet1[[#This Row],[Discount]])</f>
        <v>1728</v>
      </c>
      <c r="K152">
        <v>126</v>
      </c>
      <c r="L152" t="s">
        <v>32</v>
      </c>
      <c r="M152" s="7">
        <f>Sheet1[[#This Row],[Quantity]]*Sheet1[[#This Row],[Unit Price]]*(1 - Sheet1[[#This Row],[Discount]])</f>
        <v>1728</v>
      </c>
      <c r="N152" s="7">
        <f>Sheet1[[#This Row],[Sales]]-Sheet1[[#This Row],[Profit]]</f>
        <v>1602</v>
      </c>
    </row>
    <row r="153" spans="1:14" x14ac:dyDescent="0.2">
      <c r="A153">
        <v>1502</v>
      </c>
      <c r="B153" s="8">
        <v>44713</v>
      </c>
      <c r="C153" t="s">
        <v>15</v>
      </c>
      <c r="D153" t="s">
        <v>22</v>
      </c>
      <c r="E153" t="s">
        <v>24</v>
      </c>
      <c r="F153" t="s">
        <v>27</v>
      </c>
      <c r="G153">
        <v>5</v>
      </c>
      <c r="H153">
        <v>433</v>
      </c>
      <c r="I153">
        <v>0</v>
      </c>
      <c r="J153" s="7">
        <f>Sheet1[[#This Row],[Quantity]]*Sheet1[[#This Row],[Unit Price]]*(1-Sheet1[[#This Row],[Discount]])</f>
        <v>2165</v>
      </c>
      <c r="K153">
        <v>386</v>
      </c>
      <c r="L153" t="s">
        <v>32</v>
      </c>
      <c r="M153" s="7">
        <f>Sheet1[[#This Row],[Quantity]]*Sheet1[[#This Row],[Unit Price]]*(1 - Sheet1[[#This Row],[Discount]])</f>
        <v>2165</v>
      </c>
      <c r="N153" s="7">
        <f>Sheet1[[#This Row],[Sales]]-Sheet1[[#This Row],[Profit]]</f>
        <v>1779</v>
      </c>
    </row>
    <row r="154" spans="1:14" x14ac:dyDescent="0.2">
      <c r="A154">
        <v>1766</v>
      </c>
      <c r="B154" s="8">
        <v>44714</v>
      </c>
      <c r="C154" t="s">
        <v>16</v>
      </c>
      <c r="D154" t="s">
        <v>20</v>
      </c>
      <c r="E154" t="s">
        <v>26</v>
      </c>
      <c r="F154" t="s">
        <v>28</v>
      </c>
      <c r="G154">
        <v>5</v>
      </c>
      <c r="H154">
        <v>436</v>
      </c>
      <c r="I154">
        <v>0</v>
      </c>
      <c r="J154" s="7">
        <f>Sheet1[[#This Row],[Quantity]]*Sheet1[[#This Row],[Unit Price]]*(1-Sheet1[[#This Row],[Discount]])</f>
        <v>2180</v>
      </c>
      <c r="K154">
        <v>548</v>
      </c>
      <c r="L154" t="s">
        <v>33</v>
      </c>
      <c r="M154" s="7">
        <f>Sheet1[[#This Row],[Quantity]]*Sheet1[[#This Row],[Unit Price]]*(1 - Sheet1[[#This Row],[Discount]])</f>
        <v>2180</v>
      </c>
      <c r="N154" s="7">
        <f>Sheet1[[#This Row],[Sales]]-Sheet1[[#This Row],[Profit]]</f>
        <v>1632</v>
      </c>
    </row>
    <row r="155" spans="1:14" x14ac:dyDescent="0.2">
      <c r="A155">
        <v>1397</v>
      </c>
      <c r="B155" s="8">
        <v>44715</v>
      </c>
      <c r="C155" t="s">
        <v>14</v>
      </c>
      <c r="D155" t="s">
        <v>21</v>
      </c>
      <c r="E155" t="s">
        <v>24</v>
      </c>
      <c r="F155" t="s">
        <v>30</v>
      </c>
      <c r="G155">
        <v>6</v>
      </c>
      <c r="H155">
        <v>96</v>
      </c>
      <c r="I155">
        <v>0</v>
      </c>
      <c r="J155" s="7">
        <f>Sheet1[[#This Row],[Quantity]]*Sheet1[[#This Row],[Unit Price]]*(1-Sheet1[[#This Row],[Discount]])</f>
        <v>576</v>
      </c>
      <c r="K155">
        <v>95</v>
      </c>
      <c r="L155" t="s">
        <v>32</v>
      </c>
      <c r="M155" s="7">
        <f>Sheet1[[#This Row],[Quantity]]*Sheet1[[#This Row],[Unit Price]]*(1 - Sheet1[[#This Row],[Discount]])</f>
        <v>576</v>
      </c>
      <c r="N155" s="7">
        <f>Sheet1[[#This Row],[Sales]]-Sheet1[[#This Row],[Profit]]</f>
        <v>481</v>
      </c>
    </row>
    <row r="156" spans="1:14" x14ac:dyDescent="0.2">
      <c r="A156">
        <v>1870</v>
      </c>
      <c r="B156" s="8">
        <v>44716</v>
      </c>
      <c r="C156" t="s">
        <v>17</v>
      </c>
      <c r="D156" t="s">
        <v>22</v>
      </c>
      <c r="E156" t="s">
        <v>26</v>
      </c>
      <c r="F156" t="s">
        <v>31</v>
      </c>
      <c r="G156">
        <v>7</v>
      </c>
      <c r="H156">
        <v>135</v>
      </c>
      <c r="I156">
        <v>0</v>
      </c>
      <c r="J156" s="7">
        <f>Sheet1[[#This Row],[Quantity]]*Sheet1[[#This Row],[Unit Price]]*(1-Sheet1[[#This Row],[Discount]])</f>
        <v>945</v>
      </c>
      <c r="K156">
        <v>60</v>
      </c>
      <c r="L156" t="s">
        <v>32</v>
      </c>
      <c r="M156" s="7">
        <f>Sheet1[[#This Row],[Quantity]]*Sheet1[[#This Row],[Unit Price]]*(1 - Sheet1[[#This Row],[Discount]])</f>
        <v>945</v>
      </c>
      <c r="N156" s="7">
        <f>Sheet1[[#This Row],[Sales]]-Sheet1[[#This Row],[Profit]]</f>
        <v>885</v>
      </c>
    </row>
    <row r="157" spans="1:14" x14ac:dyDescent="0.2">
      <c r="A157">
        <v>1794</v>
      </c>
      <c r="B157" s="8">
        <v>44717</v>
      </c>
      <c r="C157" t="s">
        <v>19</v>
      </c>
      <c r="D157" t="s">
        <v>22</v>
      </c>
      <c r="E157" t="s">
        <v>26</v>
      </c>
      <c r="F157" t="s">
        <v>30</v>
      </c>
      <c r="G157">
        <v>8</v>
      </c>
      <c r="H157">
        <v>173</v>
      </c>
      <c r="I157">
        <v>0.2</v>
      </c>
      <c r="J157" s="7">
        <f>Sheet1[[#This Row],[Quantity]]*Sheet1[[#This Row],[Unit Price]]*(1-Sheet1[[#This Row],[Discount]])</f>
        <v>1107.2</v>
      </c>
      <c r="K157">
        <v>273</v>
      </c>
      <c r="L157" t="s">
        <v>32</v>
      </c>
      <c r="M157" s="7">
        <f>Sheet1[[#This Row],[Quantity]]*Sheet1[[#This Row],[Unit Price]]*(1 - Sheet1[[#This Row],[Discount]])</f>
        <v>1107.2</v>
      </c>
      <c r="N157" s="7">
        <f>Sheet1[[#This Row],[Sales]]-Sheet1[[#This Row],[Profit]]</f>
        <v>834.2</v>
      </c>
    </row>
    <row r="158" spans="1:14" x14ac:dyDescent="0.2">
      <c r="A158">
        <v>1392</v>
      </c>
      <c r="B158" s="8">
        <v>44718</v>
      </c>
      <c r="C158" t="s">
        <v>18</v>
      </c>
      <c r="D158" t="s">
        <v>21</v>
      </c>
      <c r="E158" t="s">
        <v>26</v>
      </c>
      <c r="F158" t="s">
        <v>30</v>
      </c>
      <c r="G158">
        <v>8</v>
      </c>
      <c r="H158">
        <v>425</v>
      </c>
      <c r="I158">
        <v>0.3</v>
      </c>
      <c r="J158" s="7">
        <f>Sheet1[[#This Row],[Quantity]]*Sheet1[[#This Row],[Unit Price]]*(1-Sheet1[[#This Row],[Discount]])</f>
        <v>2380</v>
      </c>
      <c r="K158">
        <v>239</v>
      </c>
      <c r="L158" t="s">
        <v>32</v>
      </c>
      <c r="M158" s="7">
        <f>Sheet1[[#This Row],[Quantity]]*Sheet1[[#This Row],[Unit Price]]*(1 - Sheet1[[#This Row],[Discount]])</f>
        <v>2380</v>
      </c>
      <c r="N158" s="7">
        <f>Sheet1[[#This Row],[Sales]]-Sheet1[[#This Row],[Profit]]</f>
        <v>2141</v>
      </c>
    </row>
    <row r="159" spans="1:14" x14ac:dyDescent="0.2">
      <c r="A159">
        <v>1206</v>
      </c>
      <c r="B159" s="8">
        <v>44719</v>
      </c>
      <c r="C159" t="s">
        <v>17</v>
      </c>
      <c r="D159" t="s">
        <v>22</v>
      </c>
      <c r="E159" t="s">
        <v>24</v>
      </c>
      <c r="F159" t="s">
        <v>31</v>
      </c>
      <c r="G159">
        <v>2</v>
      </c>
      <c r="H159">
        <v>122</v>
      </c>
      <c r="I159">
        <v>0.1</v>
      </c>
      <c r="J159" s="7">
        <f>Sheet1[[#This Row],[Quantity]]*Sheet1[[#This Row],[Unit Price]]*(1-Sheet1[[#This Row],[Discount]])</f>
        <v>219.6</v>
      </c>
      <c r="K159">
        <v>25</v>
      </c>
      <c r="L159" t="s">
        <v>32</v>
      </c>
      <c r="M159" s="7">
        <f>Sheet1[[#This Row],[Quantity]]*Sheet1[[#This Row],[Unit Price]]*(1 - Sheet1[[#This Row],[Discount]])</f>
        <v>219.6</v>
      </c>
      <c r="N159" s="7">
        <f>Sheet1[[#This Row],[Sales]]-Sheet1[[#This Row],[Profit]]</f>
        <v>194.6</v>
      </c>
    </row>
    <row r="160" spans="1:14" x14ac:dyDescent="0.2">
      <c r="A160">
        <v>1014</v>
      </c>
      <c r="B160" s="8">
        <v>44720</v>
      </c>
      <c r="C160" t="s">
        <v>18</v>
      </c>
      <c r="D160" t="s">
        <v>22</v>
      </c>
      <c r="E160" t="s">
        <v>24</v>
      </c>
      <c r="F160" t="s">
        <v>30</v>
      </c>
      <c r="G160">
        <v>9</v>
      </c>
      <c r="H160">
        <v>213</v>
      </c>
      <c r="I160">
        <v>0.2</v>
      </c>
      <c r="J160" s="7">
        <f>Sheet1[[#This Row],[Quantity]]*Sheet1[[#This Row],[Unit Price]]*(1-Sheet1[[#This Row],[Discount]])</f>
        <v>1533.6000000000001</v>
      </c>
      <c r="K160">
        <v>140</v>
      </c>
      <c r="L160" t="s">
        <v>32</v>
      </c>
      <c r="M160" s="7">
        <f>Sheet1[[#This Row],[Quantity]]*Sheet1[[#This Row],[Unit Price]]*(1 - Sheet1[[#This Row],[Discount]])</f>
        <v>1533.6000000000001</v>
      </c>
      <c r="N160" s="7">
        <f>Sheet1[[#This Row],[Sales]]-Sheet1[[#This Row],[Profit]]</f>
        <v>1393.6000000000001</v>
      </c>
    </row>
    <row r="161" spans="1:14" x14ac:dyDescent="0.2">
      <c r="A161">
        <v>1857</v>
      </c>
      <c r="B161" s="8">
        <v>44721</v>
      </c>
      <c r="C161" t="s">
        <v>16</v>
      </c>
      <c r="D161" t="s">
        <v>20</v>
      </c>
      <c r="E161" t="s">
        <v>24</v>
      </c>
      <c r="F161" t="s">
        <v>31</v>
      </c>
      <c r="G161">
        <v>7</v>
      </c>
      <c r="H161">
        <v>185</v>
      </c>
      <c r="I161">
        <v>0.2</v>
      </c>
      <c r="J161" s="7">
        <f>Sheet1[[#This Row],[Quantity]]*Sheet1[[#This Row],[Unit Price]]*(1-Sheet1[[#This Row],[Discount]])</f>
        <v>1036</v>
      </c>
      <c r="K161">
        <v>137</v>
      </c>
      <c r="L161" t="s">
        <v>32</v>
      </c>
      <c r="M161" s="7">
        <f>Sheet1[[#This Row],[Quantity]]*Sheet1[[#This Row],[Unit Price]]*(1 - Sheet1[[#This Row],[Discount]])</f>
        <v>1036</v>
      </c>
      <c r="N161" s="7">
        <f>Sheet1[[#This Row],[Sales]]-Sheet1[[#This Row],[Profit]]</f>
        <v>899</v>
      </c>
    </row>
    <row r="162" spans="1:14" x14ac:dyDescent="0.2">
      <c r="A162">
        <v>1553</v>
      </c>
      <c r="B162" s="8">
        <v>44722</v>
      </c>
      <c r="C162" t="s">
        <v>18</v>
      </c>
      <c r="D162" t="s">
        <v>22</v>
      </c>
      <c r="E162" t="s">
        <v>26</v>
      </c>
      <c r="F162" t="s">
        <v>28</v>
      </c>
      <c r="G162">
        <v>4</v>
      </c>
      <c r="H162">
        <v>378</v>
      </c>
      <c r="I162">
        <v>0.1</v>
      </c>
      <c r="J162" s="7">
        <f>Sheet1[[#This Row],[Quantity]]*Sheet1[[#This Row],[Unit Price]]*(1-Sheet1[[#This Row],[Discount]])</f>
        <v>1360.8</v>
      </c>
      <c r="K162">
        <v>325</v>
      </c>
      <c r="L162" t="s">
        <v>32</v>
      </c>
      <c r="M162" s="7">
        <f>Sheet1[[#This Row],[Quantity]]*Sheet1[[#This Row],[Unit Price]]*(1 - Sheet1[[#This Row],[Discount]])</f>
        <v>1360.8</v>
      </c>
      <c r="N162" s="7">
        <f>Sheet1[[#This Row],[Sales]]-Sheet1[[#This Row],[Profit]]</f>
        <v>1035.8</v>
      </c>
    </row>
    <row r="163" spans="1:14" x14ac:dyDescent="0.2">
      <c r="A163">
        <v>1891</v>
      </c>
      <c r="B163" s="8">
        <v>44723</v>
      </c>
      <c r="C163" t="s">
        <v>15</v>
      </c>
      <c r="D163" t="s">
        <v>23</v>
      </c>
      <c r="E163" t="s">
        <v>24</v>
      </c>
      <c r="F163" t="s">
        <v>31</v>
      </c>
      <c r="G163">
        <v>4</v>
      </c>
      <c r="H163">
        <v>109</v>
      </c>
      <c r="I163">
        <v>0.1</v>
      </c>
      <c r="J163" s="7">
        <f>Sheet1[[#This Row],[Quantity]]*Sheet1[[#This Row],[Unit Price]]*(1-Sheet1[[#This Row],[Discount]])</f>
        <v>392.40000000000003</v>
      </c>
      <c r="K163">
        <v>71</v>
      </c>
      <c r="L163" t="s">
        <v>32</v>
      </c>
      <c r="M163" s="7">
        <f>Sheet1[[#This Row],[Quantity]]*Sheet1[[#This Row],[Unit Price]]*(1 - Sheet1[[#This Row],[Discount]])</f>
        <v>392.40000000000003</v>
      </c>
      <c r="N163" s="7">
        <f>Sheet1[[#This Row],[Sales]]-Sheet1[[#This Row],[Profit]]</f>
        <v>321.40000000000003</v>
      </c>
    </row>
    <row r="164" spans="1:14" x14ac:dyDescent="0.2">
      <c r="A164">
        <v>1460</v>
      </c>
      <c r="B164" s="8">
        <v>44724</v>
      </c>
      <c r="C164" t="s">
        <v>19</v>
      </c>
      <c r="D164" t="s">
        <v>21</v>
      </c>
      <c r="E164" t="s">
        <v>24</v>
      </c>
      <c r="F164" t="s">
        <v>31</v>
      </c>
      <c r="G164">
        <v>8</v>
      </c>
      <c r="H164">
        <v>193</v>
      </c>
      <c r="I164">
        <v>0</v>
      </c>
      <c r="J164" s="7">
        <f>Sheet1[[#This Row],[Quantity]]*Sheet1[[#This Row],[Unit Price]]*(1-Sheet1[[#This Row],[Discount]])</f>
        <v>1544</v>
      </c>
      <c r="K164">
        <v>156</v>
      </c>
      <c r="L164" t="s">
        <v>32</v>
      </c>
      <c r="M164" s="7">
        <f>Sheet1[[#This Row],[Quantity]]*Sheet1[[#This Row],[Unit Price]]*(1 - Sheet1[[#This Row],[Discount]])</f>
        <v>1544</v>
      </c>
      <c r="N164" s="7">
        <f>Sheet1[[#This Row],[Sales]]-Sheet1[[#This Row],[Profit]]</f>
        <v>1388</v>
      </c>
    </row>
    <row r="165" spans="1:14" x14ac:dyDescent="0.2">
      <c r="A165">
        <v>1690</v>
      </c>
      <c r="B165" s="8">
        <v>44725</v>
      </c>
      <c r="C165" t="s">
        <v>13</v>
      </c>
      <c r="D165" t="s">
        <v>20</v>
      </c>
      <c r="E165" t="s">
        <v>26</v>
      </c>
      <c r="F165" t="s">
        <v>27</v>
      </c>
      <c r="G165">
        <v>4</v>
      </c>
      <c r="H165">
        <v>141</v>
      </c>
      <c r="I165">
        <v>0.2</v>
      </c>
      <c r="J165" s="7">
        <f>Sheet1[[#This Row],[Quantity]]*Sheet1[[#This Row],[Unit Price]]*(1-Sheet1[[#This Row],[Discount]])</f>
        <v>451.20000000000005</v>
      </c>
      <c r="K165">
        <v>122</v>
      </c>
      <c r="L165" t="s">
        <v>32</v>
      </c>
      <c r="M165" s="7">
        <f>Sheet1[[#This Row],[Quantity]]*Sheet1[[#This Row],[Unit Price]]*(1 - Sheet1[[#This Row],[Discount]])</f>
        <v>451.20000000000005</v>
      </c>
      <c r="N165" s="7">
        <f>Sheet1[[#This Row],[Sales]]-Sheet1[[#This Row],[Profit]]</f>
        <v>329.20000000000005</v>
      </c>
    </row>
    <row r="166" spans="1:14" x14ac:dyDescent="0.2">
      <c r="A166">
        <v>1574</v>
      </c>
      <c r="B166" s="8">
        <v>44726</v>
      </c>
      <c r="C166" t="s">
        <v>18</v>
      </c>
      <c r="D166" t="s">
        <v>20</v>
      </c>
      <c r="E166" t="s">
        <v>25</v>
      </c>
      <c r="F166" t="s">
        <v>31</v>
      </c>
      <c r="G166">
        <v>6</v>
      </c>
      <c r="H166">
        <v>162</v>
      </c>
      <c r="I166">
        <v>0.1</v>
      </c>
      <c r="J166" s="7">
        <f>Sheet1[[#This Row],[Quantity]]*Sheet1[[#This Row],[Unit Price]]*(1-Sheet1[[#This Row],[Discount]])</f>
        <v>874.80000000000007</v>
      </c>
      <c r="K166">
        <v>262</v>
      </c>
      <c r="L166" t="s">
        <v>32</v>
      </c>
      <c r="M166" s="7">
        <f>Sheet1[[#This Row],[Quantity]]*Sheet1[[#This Row],[Unit Price]]*(1 - Sheet1[[#This Row],[Discount]])</f>
        <v>874.80000000000007</v>
      </c>
      <c r="N166" s="7">
        <f>Sheet1[[#This Row],[Sales]]-Sheet1[[#This Row],[Profit]]</f>
        <v>612.80000000000007</v>
      </c>
    </row>
    <row r="167" spans="1:14" x14ac:dyDescent="0.2">
      <c r="A167">
        <v>1863</v>
      </c>
      <c r="B167" s="8">
        <v>44727</v>
      </c>
      <c r="C167" t="s">
        <v>17</v>
      </c>
      <c r="D167" t="s">
        <v>23</v>
      </c>
      <c r="E167" t="s">
        <v>26</v>
      </c>
      <c r="F167" t="s">
        <v>31</v>
      </c>
      <c r="G167">
        <v>5</v>
      </c>
      <c r="H167">
        <v>125</v>
      </c>
      <c r="I167">
        <v>0.1</v>
      </c>
      <c r="J167" s="7">
        <f>Sheet1[[#This Row],[Quantity]]*Sheet1[[#This Row],[Unit Price]]*(1-Sheet1[[#This Row],[Discount]])</f>
        <v>562.5</v>
      </c>
      <c r="K167">
        <v>151</v>
      </c>
      <c r="L167" t="s">
        <v>32</v>
      </c>
      <c r="M167" s="7">
        <f>Sheet1[[#This Row],[Quantity]]*Sheet1[[#This Row],[Unit Price]]*(1 - Sheet1[[#This Row],[Discount]])</f>
        <v>562.5</v>
      </c>
      <c r="N167" s="7">
        <f>Sheet1[[#This Row],[Sales]]-Sheet1[[#This Row],[Profit]]</f>
        <v>411.5</v>
      </c>
    </row>
    <row r="168" spans="1:14" x14ac:dyDescent="0.2">
      <c r="A168">
        <v>1742</v>
      </c>
      <c r="B168" s="8">
        <v>44728</v>
      </c>
      <c r="C168" t="s">
        <v>15</v>
      </c>
      <c r="D168" t="s">
        <v>21</v>
      </c>
      <c r="E168" t="s">
        <v>24</v>
      </c>
      <c r="F168" t="s">
        <v>28</v>
      </c>
      <c r="G168">
        <v>3</v>
      </c>
      <c r="H168">
        <v>394</v>
      </c>
      <c r="I168">
        <v>0.1</v>
      </c>
      <c r="J168" s="7">
        <f>Sheet1[[#This Row],[Quantity]]*Sheet1[[#This Row],[Unit Price]]*(1-Sheet1[[#This Row],[Discount]])</f>
        <v>1063.8</v>
      </c>
      <c r="K168">
        <v>117</v>
      </c>
      <c r="L168" t="s">
        <v>32</v>
      </c>
      <c r="M168" s="7">
        <f>Sheet1[[#This Row],[Quantity]]*Sheet1[[#This Row],[Unit Price]]*(1 - Sheet1[[#This Row],[Discount]])</f>
        <v>1063.8</v>
      </c>
      <c r="N168" s="7">
        <f>Sheet1[[#This Row],[Sales]]-Sheet1[[#This Row],[Profit]]</f>
        <v>946.8</v>
      </c>
    </row>
    <row r="169" spans="1:14" x14ac:dyDescent="0.2">
      <c r="A169">
        <v>1240</v>
      </c>
      <c r="B169" s="8">
        <v>44729</v>
      </c>
      <c r="C169" t="s">
        <v>13</v>
      </c>
      <c r="D169" t="s">
        <v>21</v>
      </c>
      <c r="E169" t="s">
        <v>26</v>
      </c>
      <c r="F169" t="s">
        <v>27</v>
      </c>
      <c r="G169">
        <v>2</v>
      </c>
      <c r="H169">
        <v>447</v>
      </c>
      <c r="I169">
        <v>0.3</v>
      </c>
      <c r="J169" s="7">
        <f>Sheet1[[#This Row],[Quantity]]*Sheet1[[#This Row],[Unit Price]]*(1-Sheet1[[#This Row],[Discount]])</f>
        <v>625.79999999999995</v>
      </c>
      <c r="K169">
        <v>102</v>
      </c>
      <c r="L169" t="s">
        <v>32</v>
      </c>
      <c r="M169" s="7">
        <f>Sheet1[[#This Row],[Quantity]]*Sheet1[[#This Row],[Unit Price]]*(1 - Sheet1[[#This Row],[Discount]])</f>
        <v>625.79999999999995</v>
      </c>
      <c r="N169" s="7">
        <f>Sheet1[[#This Row],[Sales]]-Sheet1[[#This Row],[Profit]]</f>
        <v>523.79999999999995</v>
      </c>
    </row>
    <row r="170" spans="1:14" x14ac:dyDescent="0.2">
      <c r="A170">
        <v>1095</v>
      </c>
      <c r="B170" s="8">
        <v>44730</v>
      </c>
      <c r="C170" t="s">
        <v>13</v>
      </c>
      <c r="D170" t="s">
        <v>22</v>
      </c>
      <c r="E170" t="s">
        <v>26</v>
      </c>
      <c r="F170" t="s">
        <v>28</v>
      </c>
      <c r="G170">
        <v>9</v>
      </c>
      <c r="H170">
        <v>379</v>
      </c>
      <c r="I170">
        <v>0.1</v>
      </c>
      <c r="J170" s="7">
        <f>Sheet1[[#This Row],[Quantity]]*Sheet1[[#This Row],[Unit Price]]*(1-Sheet1[[#This Row],[Discount]])</f>
        <v>3069.9</v>
      </c>
      <c r="K170">
        <v>829</v>
      </c>
      <c r="L170" t="s">
        <v>32</v>
      </c>
      <c r="M170" s="7">
        <f>Sheet1[[#This Row],[Quantity]]*Sheet1[[#This Row],[Unit Price]]*(1 - Sheet1[[#This Row],[Discount]])</f>
        <v>3069.9</v>
      </c>
      <c r="N170" s="7">
        <f>Sheet1[[#This Row],[Sales]]-Sheet1[[#This Row],[Profit]]</f>
        <v>2240.9</v>
      </c>
    </row>
    <row r="171" spans="1:14" x14ac:dyDescent="0.2">
      <c r="A171">
        <v>1899</v>
      </c>
      <c r="B171" s="8">
        <v>44731</v>
      </c>
      <c r="C171" t="s">
        <v>15</v>
      </c>
      <c r="D171" t="s">
        <v>20</v>
      </c>
      <c r="E171" t="s">
        <v>24</v>
      </c>
      <c r="F171" t="s">
        <v>28</v>
      </c>
      <c r="G171">
        <v>1</v>
      </c>
      <c r="H171">
        <v>478</v>
      </c>
      <c r="I171">
        <v>0.1</v>
      </c>
      <c r="J171" s="7">
        <f>Sheet1[[#This Row],[Quantity]]*Sheet1[[#This Row],[Unit Price]]*(1-Sheet1[[#This Row],[Discount]])</f>
        <v>430.2</v>
      </c>
      <c r="K171">
        <v>24</v>
      </c>
      <c r="L171" t="s">
        <v>33</v>
      </c>
      <c r="M171" s="7">
        <f>Sheet1[[#This Row],[Quantity]]*Sheet1[[#This Row],[Unit Price]]*(1 - Sheet1[[#This Row],[Discount]])</f>
        <v>430.2</v>
      </c>
      <c r="N171" s="7">
        <f>Sheet1[[#This Row],[Sales]]-Sheet1[[#This Row],[Profit]]</f>
        <v>406.2</v>
      </c>
    </row>
    <row r="172" spans="1:14" x14ac:dyDescent="0.2">
      <c r="A172">
        <v>1733</v>
      </c>
      <c r="B172" s="8">
        <v>44732</v>
      </c>
      <c r="C172" t="s">
        <v>14</v>
      </c>
      <c r="D172" t="s">
        <v>21</v>
      </c>
      <c r="E172" t="s">
        <v>25</v>
      </c>
      <c r="F172" t="s">
        <v>29</v>
      </c>
      <c r="G172">
        <v>3</v>
      </c>
      <c r="H172">
        <v>336</v>
      </c>
      <c r="I172">
        <v>0</v>
      </c>
      <c r="J172" s="7">
        <f>Sheet1[[#This Row],[Quantity]]*Sheet1[[#This Row],[Unit Price]]*(1-Sheet1[[#This Row],[Discount]])</f>
        <v>1008</v>
      </c>
      <c r="K172">
        <v>67</v>
      </c>
      <c r="L172" t="s">
        <v>32</v>
      </c>
      <c r="M172" s="7">
        <f>Sheet1[[#This Row],[Quantity]]*Sheet1[[#This Row],[Unit Price]]*(1 - Sheet1[[#This Row],[Discount]])</f>
        <v>1008</v>
      </c>
      <c r="N172" s="7">
        <f>Sheet1[[#This Row],[Sales]]-Sheet1[[#This Row],[Profit]]</f>
        <v>941</v>
      </c>
    </row>
    <row r="173" spans="1:14" x14ac:dyDescent="0.2">
      <c r="A173">
        <v>1230</v>
      </c>
      <c r="B173" s="8">
        <v>44733</v>
      </c>
      <c r="C173" t="s">
        <v>16</v>
      </c>
      <c r="D173" t="s">
        <v>21</v>
      </c>
      <c r="E173" t="s">
        <v>25</v>
      </c>
      <c r="F173" t="s">
        <v>27</v>
      </c>
      <c r="G173">
        <v>5</v>
      </c>
      <c r="H173">
        <v>409</v>
      </c>
      <c r="I173">
        <v>0.1</v>
      </c>
      <c r="J173" s="7">
        <f>Sheet1[[#This Row],[Quantity]]*Sheet1[[#This Row],[Unit Price]]*(1-Sheet1[[#This Row],[Discount]])</f>
        <v>1840.5</v>
      </c>
      <c r="K173">
        <v>340</v>
      </c>
      <c r="L173" t="s">
        <v>32</v>
      </c>
      <c r="M173" s="7">
        <f>Sheet1[[#This Row],[Quantity]]*Sheet1[[#This Row],[Unit Price]]*(1 - Sheet1[[#This Row],[Discount]])</f>
        <v>1840.5</v>
      </c>
      <c r="N173" s="7">
        <f>Sheet1[[#This Row],[Sales]]-Sheet1[[#This Row],[Profit]]</f>
        <v>1500.5</v>
      </c>
    </row>
    <row r="174" spans="1:14" x14ac:dyDescent="0.2">
      <c r="A174">
        <v>1748</v>
      </c>
      <c r="B174" s="8">
        <v>44734</v>
      </c>
      <c r="C174" t="s">
        <v>17</v>
      </c>
      <c r="D174" t="s">
        <v>20</v>
      </c>
      <c r="E174" t="s">
        <v>26</v>
      </c>
      <c r="F174" t="s">
        <v>30</v>
      </c>
      <c r="G174">
        <v>5</v>
      </c>
      <c r="H174">
        <v>28</v>
      </c>
      <c r="I174">
        <v>0.1</v>
      </c>
      <c r="J174" s="7">
        <f>Sheet1[[#This Row],[Quantity]]*Sheet1[[#This Row],[Unit Price]]*(1-Sheet1[[#This Row],[Discount]])</f>
        <v>126</v>
      </c>
      <c r="K174">
        <v>24</v>
      </c>
      <c r="L174" t="s">
        <v>32</v>
      </c>
      <c r="M174" s="7">
        <f>Sheet1[[#This Row],[Quantity]]*Sheet1[[#This Row],[Unit Price]]*(1 - Sheet1[[#This Row],[Discount]])</f>
        <v>126</v>
      </c>
      <c r="N174" s="7">
        <f>Sheet1[[#This Row],[Sales]]-Sheet1[[#This Row],[Profit]]</f>
        <v>102</v>
      </c>
    </row>
    <row r="175" spans="1:14" x14ac:dyDescent="0.2">
      <c r="A175">
        <v>1654</v>
      </c>
      <c r="B175" s="8">
        <v>44735</v>
      </c>
      <c r="C175" t="s">
        <v>17</v>
      </c>
      <c r="D175" t="s">
        <v>22</v>
      </c>
      <c r="E175" t="s">
        <v>26</v>
      </c>
      <c r="F175" t="s">
        <v>29</v>
      </c>
      <c r="G175">
        <v>6</v>
      </c>
      <c r="H175">
        <v>281</v>
      </c>
      <c r="I175">
        <v>0.3</v>
      </c>
      <c r="J175" s="7">
        <f>Sheet1[[#This Row],[Quantity]]*Sheet1[[#This Row],[Unit Price]]*(1-Sheet1[[#This Row],[Discount]])</f>
        <v>1180.1999999999998</v>
      </c>
      <c r="K175">
        <v>90</v>
      </c>
      <c r="L175" t="s">
        <v>32</v>
      </c>
      <c r="M175" s="7">
        <f>Sheet1[[#This Row],[Quantity]]*Sheet1[[#This Row],[Unit Price]]*(1 - Sheet1[[#This Row],[Discount]])</f>
        <v>1180.1999999999998</v>
      </c>
      <c r="N175" s="7">
        <f>Sheet1[[#This Row],[Sales]]-Sheet1[[#This Row],[Profit]]</f>
        <v>1090.1999999999998</v>
      </c>
    </row>
    <row r="176" spans="1:14" x14ac:dyDescent="0.2">
      <c r="A176">
        <v>1170</v>
      </c>
      <c r="B176" s="8">
        <v>44736</v>
      </c>
      <c r="C176" t="s">
        <v>13</v>
      </c>
      <c r="D176" t="s">
        <v>20</v>
      </c>
      <c r="E176" t="s">
        <v>24</v>
      </c>
      <c r="F176" t="s">
        <v>28</v>
      </c>
      <c r="G176">
        <v>7</v>
      </c>
      <c r="H176">
        <v>92</v>
      </c>
      <c r="I176">
        <v>0.3</v>
      </c>
      <c r="J176" s="7">
        <f>Sheet1[[#This Row],[Quantity]]*Sheet1[[#This Row],[Unit Price]]*(1-Sheet1[[#This Row],[Discount]])</f>
        <v>450.79999999999995</v>
      </c>
      <c r="K176">
        <v>97</v>
      </c>
      <c r="L176" t="s">
        <v>32</v>
      </c>
      <c r="M176" s="7">
        <f>Sheet1[[#This Row],[Quantity]]*Sheet1[[#This Row],[Unit Price]]*(1 - Sheet1[[#This Row],[Discount]])</f>
        <v>450.79999999999995</v>
      </c>
      <c r="N176" s="7">
        <f>Sheet1[[#This Row],[Sales]]-Sheet1[[#This Row],[Profit]]</f>
        <v>353.79999999999995</v>
      </c>
    </row>
    <row r="177" spans="1:14" x14ac:dyDescent="0.2">
      <c r="A177">
        <v>1540</v>
      </c>
      <c r="B177" s="8">
        <v>44737</v>
      </c>
      <c r="C177" t="s">
        <v>18</v>
      </c>
      <c r="D177" t="s">
        <v>20</v>
      </c>
      <c r="E177" t="s">
        <v>26</v>
      </c>
      <c r="F177" t="s">
        <v>28</v>
      </c>
      <c r="G177">
        <v>1</v>
      </c>
      <c r="H177">
        <v>378</v>
      </c>
      <c r="I177">
        <v>0.2</v>
      </c>
      <c r="J177" s="7">
        <f>Sheet1[[#This Row],[Quantity]]*Sheet1[[#This Row],[Unit Price]]*(1-Sheet1[[#This Row],[Discount]])</f>
        <v>302.40000000000003</v>
      </c>
      <c r="K177">
        <v>77</v>
      </c>
      <c r="L177" t="s">
        <v>33</v>
      </c>
      <c r="M177" s="7">
        <f>Sheet1[[#This Row],[Quantity]]*Sheet1[[#This Row],[Unit Price]]*(1 - Sheet1[[#This Row],[Discount]])</f>
        <v>302.40000000000003</v>
      </c>
      <c r="N177" s="7">
        <f>Sheet1[[#This Row],[Sales]]-Sheet1[[#This Row],[Profit]]</f>
        <v>225.40000000000003</v>
      </c>
    </row>
    <row r="178" spans="1:14" x14ac:dyDescent="0.2">
      <c r="A178">
        <v>1035</v>
      </c>
      <c r="B178" s="8">
        <v>44738</v>
      </c>
      <c r="C178" t="s">
        <v>18</v>
      </c>
      <c r="D178" t="s">
        <v>21</v>
      </c>
      <c r="E178" t="s">
        <v>26</v>
      </c>
      <c r="F178" t="s">
        <v>27</v>
      </c>
      <c r="G178">
        <v>9</v>
      </c>
      <c r="H178">
        <v>242</v>
      </c>
      <c r="I178">
        <v>0.1</v>
      </c>
      <c r="J178" s="7">
        <f>Sheet1[[#This Row],[Quantity]]*Sheet1[[#This Row],[Unit Price]]*(1-Sheet1[[#This Row],[Discount]])</f>
        <v>1960.2</v>
      </c>
      <c r="K178">
        <v>284</v>
      </c>
      <c r="L178" t="s">
        <v>32</v>
      </c>
      <c r="M178" s="7">
        <f>Sheet1[[#This Row],[Quantity]]*Sheet1[[#This Row],[Unit Price]]*(1 - Sheet1[[#This Row],[Discount]])</f>
        <v>1960.2</v>
      </c>
      <c r="N178" s="7">
        <f>Sheet1[[#This Row],[Sales]]-Sheet1[[#This Row],[Profit]]</f>
        <v>1676.2</v>
      </c>
    </row>
    <row r="179" spans="1:14" x14ac:dyDescent="0.2">
      <c r="A179">
        <v>1524</v>
      </c>
      <c r="B179" s="8">
        <v>44739</v>
      </c>
      <c r="C179" t="s">
        <v>17</v>
      </c>
      <c r="D179" t="s">
        <v>21</v>
      </c>
      <c r="E179" t="s">
        <v>25</v>
      </c>
      <c r="F179" t="s">
        <v>28</v>
      </c>
      <c r="G179">
        <v>3</v>
      </c>
      <c r="H179">
        <v>435</v>
      </c>
      <c r="I179">
        <v>0.3</v>
      </c>
      <c r="J179" s="7">
        <f>Sheet1[[#This Row],[Quantity]]*Sheet1[[#This Row],[Unit Price]]*(1-Sheet1[[#This Row],[Discount]])</f>
        <v>913.49999999999989</v>
      </c>
      <c r="K179">
        <v>223</v>
      </c>
      <c r="L179" t="s">
        <v>32</v>
      </c>
      <c r="M179" s="7">
        <f>Sheet1[[#This Row],[Quantity]]*Sheet1[[#This Row],[Unit Price]]*(1 - Sheet1[[#This Row],[Discount]])</f>
        <v>913.49999999999989</v>
      </c>
      <c r="N179" s="7">
        <f>Sheet1[[#This Row],[Sales]]-Sheet1[[#This Row],[Profit]]</f>
        <v>690.49999999999989</v>
      </c>
    </row>
    <row r="180" spans="1:14" x14ac:dyDescent="0.2">
      <c r="A180">
        <v>1159</v>
      </c>
      <c r="B180" s="8">
        <v>44740</v>
      </c>
      <c r="C180" t="s">
        <v>17</v>
      </c>
      <c r="D180" t="s">
        <v>21</v>
      </c>
      <c r="E180" t="s">
        <v>26</v>
      </c>
      <c r="F180" t="s">
        <v>28</v>
      </c>
      <c r="G180">
        <v>4</v>
      </c>
      <c r="H180">
        <v>60</v>
      </c>
      <c r="I180">
        <v>0.2</v>
      </c>
      <c r="J180" s="7">
        <f>Sheet1[[#This Row],[Quantity]]*Sheet1[[#This Row],[Unit Price]]*(1-Sheet1[[#This Row],[Discount]])</f>
        <v>192</v>
      </c>
      <c r="K180">
        <v>56</v>
      </c>
      <c r="L180" t="s">
        <v>32</v>
      </c>
      <c r="M180" s="7">
        <f>Sheet1[[#This Row],[Quantity]]*Sheet1[[#This Row],[Unit Price]]*(1 - Sheet1[[#This Row],[Discount]])</f>
        <v>192</v>
      </c>
      <c r="N180" s="7">
        <f>Sheet1[[#This Row],[Sales]]-Sheet1[[#This Row],[Profit]]</f>
        <v>136</v>
      </c>
    </row>
    <row r="181" spans="1:14" x14ac:dyDescent="0.2">
      <c r="A181">
        <v>1242</v>
      </c>
      <c r="B181" s="8">
        <v>44741</v>
      </c>
      <c r="C181" t="s">
        <v>15</v>
      </c>
      <c r="D181" t="s">
        <v>23</v>
      </c>
      <c r="E181" t="s">
        <v>25</v>
      </c>
      <c r="F181" t="s">
        <v>29</v>
      </c>
      <c r="G181">
        <v>2</v>
      </c>
      <c r="H181">
        <v>283</v>
      </c>
      <c r="I181">
        <v>0.1</v>
      </c>
      <c r="J181" s="7">
        <f>Sheet1[[#This Row],[Quantity]]*Sheet1[[#This Row],[Unit Price]]*(1-Sheet1[[#This Row],[Discount]])</f>
        <v>509.40000000000003</v>
      </c>
      <c r="K181">
        <v>69</v>
      </c>
      <c r="L181" t="s">
        <v>33</v>
      </c>
      <c r="M181" s="7">
        <f>Sheet1[[#This Row],[Quantity]]*Sheet1[[#This Row],[Unit Price]]*(1 - Sheet1[[#This Row],[Discount]])</f>
        <v>509.40000000000003</v>
      </c>
      <c r="N181" s="7">
        <f>Sheet1[[#This Row],[Sales]]-Sheet1[[#This Row],[Profit]]</f>
        <v>440.40000000000003</v>
      </c>
    </row>
    <row r="182" spans="1:14" x14ac:dyDescent="0.2">
      <c r="A182">
        <v>1085</v>
      </c>
      <c r="B182" s="8">
        <v>44742</v>
      </c>
      <c r="C182" t="s">
        <v>18</v>
      </c>
      <c r="D182" t="s">
        <v>23</v>
      </c>
      <c r="E182" t="s">
        <v>24</v>
      </c>
      <c r="F182" t="s">
        <v>28</v>
      </c>
      <c r="G182">
        <v>2</v>
      </c>
      <c r="H182">
        <v>347</v>
      </c>
      <c r="I182">
        <v>0.2</v>
      </c>
      <c r="J182" s="7">
        <f>Sheet1[[#This Row],[Quantity]]*Sheet1[[#This Row],[Unit Price]]*(1-Sheet1[[#This Row],[Discount]])</f>
        <v>555.20000000000005</v>
      </c>
      <c r="K182">
        <v>138</v>
      </c>
      <c r="L182" t="s">
        <v>33</v>
      </c>
      <c r="M182" s="7">
        <f>Sheet1[[#This Row],[Quantity]]*Sheet1[[#This Row],[Unit Price]]*(1 - Sheet1[[#This Row],[Discount]])</f>
        <v>555.20000000000005</v>
      </c>
      <c r="N182" s="7">
        <f>Sheet1[[#This Row],[Sales]]-Sheet1[[#This Row],[Profit]]</f>
        <v>417.20000000000005</v>
      </c>
    </row>
    <row r="183" spans="1:14" x14ac:dyDescent="0.2">
      <c r="A183">
        <v>1795</v>
      </c>
      <c r="B183" s="8">
        <v>44743</v>
      </c>
      <c r="C183" t="s">
        <v>17</v>
      </c>
      <c r="D183" t="s">
        <v>21</v>
      </c>
      <c r="E183" t="s">
        <v>24</v>
      </c>
      <c r="F183" t="s">
        <v>28</v>
      </c>
      <c r="G183">
        <v>1</v>
      </c>
      <c r="H183">
        <v>197</v>
      </c>
      <c r="I183">
        <v>0.1</v>
      </c>
      <c r="J183" s="7">
        <f>Sheet1[[#This Row],[Quantity]]*Sheet1[[#This Row],[Unit Price]]*(1-Sheet1[[#This Row],[Discount]])</f>
        <v>177.3</v>
      </c>
      <c r="K183">
        <v>38</v>
      </c>
      <c r="L183" t="s">
        <v>32</v>
      </c>
      <c r="M183" s="7">
        <f>Sheet1[[#This Row],[Quantity]]*Sheet1[[#This Row],[Unit Price]]*(1 - Sheet1[[#This Row],[Discount]])</f>
        <v>177.3</v>
      </c>
      <c r="N183" s="7">
        <f>Sheet1[[#This Row],[Sales]]-Sheet1[[#This Row],[Profit]]</f>
        <v>139.30000000000001</v>
      </c>
    </row>
    <row r="184" spans="1:14" x14ac:dyDescent="0.2">
      <c r="A184">
        <v>1577</v>
      </c>
      <c r="B184" s="8">
        <v>44744</v>
      </c>
      <c r="C184" t="s">
        <v>14</v>
      </c>
      <c r="D184" t="s">
        <v>21</v>
      </c>
      <c r="E184" t="s">
        <v>24</v>
      </c>
      <c r="F184" t="s">
        <v>29</v>
      </c>
      <c r="G184">
        <v>8</v>
      </c>
      <c r="H184">
        <v>367</v>
      </c>
      <c r="I184">
        <v>0.3</v>
      </c>
      <c r="J184" s="7">
        <f>Sheet1[[#This Row],[Quantity]]*Sheet1[[#This Row],[Unit Price]]*(1-Sheet1[[#This Row],[Discount]])</f>
        <v>2055.1999999999998</v>
      </c>
      <c r="K184">
        <v>429</v>
      </c>
      <c r="L184" t="s">
        <v>33</v>
      </c>
      <c r="M184" s="7">
        <f>Sheet1[[#This Row],[Quantity]]*Sheet1[[#This Row],[Unit Price]]*(1 - Sheet1[[#This Row],[Discount]])</f>
        <v>2055.1999999999998</v>
      </c>
      <c r="N184" s="7">
        <f>Sheet1[[#This Row],[Sales]]-Sheet1[[#This Row],[Profit]]</f>
        <v>1626.1999999999998</v>
      </c>
    </row>
    <row r="185" spans="1:14" x14ac:dyDescent="0.2">
      <c r="A185">
        <v>1681</v>
      </c>
      <c r="B185" s="8">
        <v>44745</v>
      </c>
      <c r="C185" t="s">
        <v>19</v>
      </c>
      <c r="D185" t="s">
        <v>20</v>
      </c>
      <c r="E185" t="s">
        <v>25</v>
      </c>
      <c r="F185" t="s">
        <v>31</v>
      </c>
      <c r="G185">
        <v>3</v>
      </c>
      <c r="H185">
        <v>337</v>
      </c>
      <c r="I185">
        <v>0</v>
      </c>
      <c r="J185" s="7">
        <f>Sheet1[[#This Row],[Quantity]]*Sheet1[[#This Row],[Unit Price]]*(1-Sheet1[[#This Row],[Discount]])</f>
        <v>1011</v>
      </c>
      <c r="K185">
        <v>252</v>
      </c>
      <c r="L185" t="s">
        <v>33</v>
      </c>
      <c r="M185" s="7">
        <f>Sheet1[[#This Row],[Quantity]]*Sheet1[[#This Row],[Unit Price]]*(1 - Sheet1[[#This Row],[Discount]])</f>
        <v>1011</v>
      </c>
      <c r="N185" s="7">
        <f>Sheet1[[#This Row],[Sales]]-Sheet1[[#This Row],[Profit]]</f>
        <v>759</v>
      </c>
    </row>
    <row r="186" spans="1:14" x14ac:dyDescent="0.2">
      <c r="A186">
        <v>1556</v>
      </c>
      <c r="B186" s="8">
        <v>44746</v>
      </c>
      <c r="C186" t="s">
        <v>14</v>
      </c>
      <c r="D186" t="s">
        <v>23</v>
      </c>
      <c r="E186" t="s">
        <v>24</v>
      </c>
      <c r="F186" t="s">
        <v>31</v>
      </c>
      <c r="G186">
        <v>3</v>
      </c>
      <c r="H186">
        <v>103</v>
      </c>
      <c r="I186">
        <v>0.3</v>
      </c>
      <c r="J186" s="7">
        <f>Sheet1[[#This Row],[Quantity]]*Sheet1[[#This Row],[Unit Price]]*(1-Sheet1[[#This Row],[Discount]])</f>
        <v>216.29999999999998</v>
      </c>
      <c r="K186">
        <v>32</v>
      </c>
      <c r="L186" t="s">
        <v>33</v>
      </c>
      <c r="M186" s="7">
        <f>Sheet1[[#This Row],[Quantity]]*Sheet1[[#This Row],[Unit Price]]*(1 - Sheet1[[#This Row],[Discount]])</f>
        <v>216.29999999999998</v>
      </c>
      <c r="N186" s="7">
        <f>Sheet1[[#This Row],[Sales]]-Sheet1[[#This Row],[Profit]]</f>
        <v>184.29999999999998</v>
      </c>
    </row>
    <row r="187" spans="1:14" x14ac:dyDescent="0.2">
      <c r="A187">
        <v>1952</v>
      </c>
      <c r="B187" s="8">
        <v>44747</v>
      </c>
      <c r="C187" t="s">
        <v>18</v>
      </c>
      <c r="D187" t="s">
        <v>22</v>
      </c>
      <c r="E187" t="s">
        <v>26</v>
      </c>
      <c r="F187" t="s">
        <v>29</v>
      </c>
      <c r="G187">
        <v>8</v>
      </c>
      <c r="H187">
        <v>130</v>
      </c>
      <c r="I187">
        <v>0.2</v>
      </c>
      <c r="J187" s="7">
        <f>Sheet1[[#This Row],[Quantity]]*Sheet1[[#This Row],[Unit Price]]*(1-Sheet1[[#This Row],[Discount]])</f>
        <v>832</v>
      </c>
      <c r="K187">
        <v>152</v>
      </c>
      <c r="L187" t="s">
        <v>32</v>
      </c>
      <c r="M187" s="7">
        <f>Sheet1[[#This Row],[Quantity]]*Sheet1[[#This Row],[Unit Price]]*(1 - Sheet1[[#This Row],[Discount]])</f>
        <v>832</v>
      </c>
      <c r="N187" s="7">
        <f>Sheet1[[#This Row],[Sales]]-Sheet1[[#This Row],[Profit]]</f>
        <v>680</v>
      </c>
    </row>
    <row r="188" spans="1:14" x14ac:dyDescent="0.2">
      <c r="A188">
        <v>1645</v>
      </c>
      <c r="B188" s="8">
        <v>44748</v>
      </c>
      <c r="C188" t="s">
        <v>14</v>
      </c>
      <c r="D188" t="s">
        <v>22</v>
      </c>
      <c r="E188" t="s">
        <v>24</v>
      </c>
      <c r="F188" t="s">
        <v>28</v>
      </c>
      <c r="G188">
        <v>9</v>
      </c>
      <c r="H188">
        <v>270</v>
      </c>
      <c r="I188">
        <v>0.3</v>
      </c>
      <c r="J188" s="7">
        <f>Sheet1[[#This Row],[Quantity]]*Sheet1[[#This Row],[Unit Price]]*(1-Sheet1[[#This Row],[Discount]])</f>
        <v>1701</v>
      </c>
      <c r="K188">
        <v>152</v>
      </c>
      <c r="L188" t="s">
        <v>32</v>
      </c>
      <c r="M188" s="7">
        <f>Sheet1[[#This Row],[Quantity]]*Sheet1[[#This Row],[Unit Price]]*(1 - Sheet1[[#This Row],[Discount]])</f>
        <v>1701</v>
      </c>
      <c r="N188" s="7">
        <f>Sheet1[[#This Row],[Sales]]-Sheet1[[#This Row],[Profit]]</f>
        <v>1549</v>
      </c>
    </row>
    <row r="189" spans="1:14" x14ac:dyDescent="0.2">
      <c r="A189">
        <v>1027</v>
      </c>
      <c r="B189" s="8">
        <v>44749</v>
      </c>
      <c r="C189" t="s">
        <v>13</v>
      </c>
      <c r="D189" t="s">
        <v>21</v>
      </c>
      <c r="E189" t="s">
        <v>25</v>
      </c>
      <c r="F189" t="s">
        <v>29</v>
      </c>
      <c r="G189">
        <v>4</v>
      </c>
      <c r="H189">
        <v>26</v>
      </c>
      <c r="I189">
        <v>0.1</v>
      </c>
      <c r="J189" s="7">
        <f>Sheet1[[#This Row],[Quantity]]*Sheet1[[#This Row],[Unit Price]]*(1-Sheet1[[#This Row],[Discount]])</f>
        <v>93.600000000000009</v>
      </c>
      <c r="K189">
        <v>26</v>
      </c>
      <c r="L189" t="s">
        <v>32</v>
      </c>
      <c r="M189" s="7">
        <f>Sheet1[[#This Row],[Quantity]]*Sheet1[[#This Row],[Unit Price]]*(1 - Sheet1[[#This Row],[Discount]])</f>
        <v>93.600000000000009</v>
      </c>
      <c r="N189" s="7">
        <f>Sheet1[[#This Row],[Sales]]-Sheet1[[#This Row],[Profit]]</f>
        <v>67.600000000000009</v>
      </c>
    </row>
    <row r="190" spans="1:14" x14ac:dyDescent="0.2">
      <c r="A190">
        <v>1619</v>
      </c>
      <c r="B190" s="8">
        <v>44750</v>
      </c>
      <c r="C190" t="s">
        <v>18</v>
      </c>
      <c r="D190" t="s">
        <v>23</v>
      </c>
      <c r="E190" t="s">
        <v>25</v>
      </c>
      <c r="F190" t="s">
        <v>31</v>
      </c>
      <c r="G190">
        <v>5</v>
      </c>
      <c r="H190">
        <v>478</v>
      </c>
      <c r="I190">
        <v>0.2</v>
      </c>
      <c r="J190" s="7">
        <f>Sheet1[[#This Row],[Quantity]]*Sheet1[[#This Row],[Unit Price]]*(1-Sheet1[[#This Row],[Discount]])</f>
        <v>1912</v>
      </c>
      <c r="K190">
        <v>247</v>
      </c>
      <c r="L190" t="s">
        <v>32</v>
      </c>
      <c r="M190" s="7">
        <f>Sheet1[[#This Row],[Quantity]]*Sheet1[[#This Row],[Unit Price]]*(1 - Sheet1[[#This Row],[Discount]])</f>
        <v>1912</v>
      </c>
      <c r="N190" s="7">
        <f>Sheet1[[#This Row],[Sales]]-Sheet1[[#This Row],[Profit]]</f>
        <v>1665</v>
      </c>
    </row>
    <row r="191" spans="1:14" x14ac:dyDescent="0.2">
      <c r="A191">
        <v>1555</v>
      </c>
      <c r="B191" s="8">
        <v>44751</v>
      </c>
      <c r="C191" t="s">
        <v>14</v>
      </c>
      <c r="D191" t="s">
        <v>23</v>
      </c>
      <c r="E191" t="s">
        <v>25</v>
      </c>
      <c r="F191" t="s">
        <v>30</v>
      </c>
      <c r="G191">
        <v>2</v>
      </c>
      <c r="H191">
        <v>103</v>
      </c>
      <c r="I191">
        <v>0.1</v>
      </c>
      <c r="J191" s="7">
        <f>Sheet1[[#This Row],[Quantity]]*Sheet1[[#This Row],[Unit Price]]*(1-Sheet1[[#This Row],[Discount]])</f>
        <v>185.4</v>
      </c>
      <c r="K191">
        <v>49</v>
      </c>
      <c r="L191" t="s">
        <v>32</v>
      </c>
      <c r="M191" s="7">
        <f>Sheet1[[#This Row],[Quantity]]*Sheet1[[#This Row],[Unit Price]]*(1 - Sheet1[[#This Row],[Discount]])</f>
        <v>185.4</v>
      </c>
      <c r="N191" s="7">
        <f>Sheet1[[#This Row],[Sales]]-Sheet1[[#This Row],[Profit]]</f>
        <v>136.4</v>
      </c>
    </row>
    <row r="192" spans="1:14" x14ac:dyDescent="0.2">
      <c r="A192">
        <v>1339</v>
      </c>
      <c r="B192" s="8">
        <v>44752</v>
      </c>
      <c r="C192" t="s">
        <v>17</v>
      </c>
      <c r="D192" t="s">
        <v>20</v>
      </c>
      <c r="E192" t="s">
        <v>25</v>
      </c>
      <c r="F192" t="s">
        <v>28</v>
      </c>
      <c r="G192">
        <v>9</v>
      </c>
      <c r="H192">
        <v>227</v>
      </c>
      <c r="I192">
        <v>0.1</v>
      </c>
      <c r="J192" s="7">
        <f>Sheet1[[#This Row],[Quantity]]*Sheet1[[#This Row],[Unit Price]]*(1-Sheet1[[#This Row],[Discount]])</f>
        <v>1838.7</v>
      </c>
      <c r="K192">
        <v>565</v>
      </c>
      <c r="L192" t="s">
        <v>32</v>
      </c>
      <c r="M192" s="7">
        <f>Sheet1[[#This Row],[Quantity]]*Sheet1[[#This Row],[Unit Price]]*(1 - Sheet1[[#This Row],[Discount]])</f>
        <v>1838.7</v>
      </c>
      <c r="N192" s="7">
        <f>Sheet1[[#This Row],[Sales]]-Sheet1[[#This Row],[Profit]]</f>
        <v>1273.7</v>
      </c>
    </row>
    <row r="193" spans="1:14" x14ac:dyDescent="0.2">
      <c r="A193">
        <v>1797</v>
      </c>
      <c r="B193" s="8">
        <v>44753</v>
      </c>
      <c r="C193" t="s">
        <v>14</v>
      </c>
      <c r="D193" t="s">
        <v>23</v>
      </c>
      <c r="E193" t="s">
        <v>25</v>
      </c>
      <c r="F193" t="s">
        <v>31</v>
      </c>
      <c r="G193">
        <v>8</v>
      </c>
      <c r="H193">
        <v>407</v>
      </c>
      <c r="I193">
        <v>0.3</v>
      </c>
      <c r="J193" s="7">
        <f>Sheet1[[#This Row],[Quantity]]*Sheet1[[#This Row],[Unit Price]]*(1-Sheet1[[#This Row],[Discount]])</f>
        <v>2279.1999999999998</v>
      </c>
      <c r="K193">
        <v>272</v>
      </c>
      <c r="L193" t="s">
        <v>32</v>
      </c>
      <c r="M193" s="7">
        <f>Sheet1[[#This Row],[Quantity]]*Sheet1[[#This Row],[Unit Price]]*(1 - Sheet1[[#This Row],[Discount]])</f>
        <v>2279.1999999999998</v>
      </c>
      <c r="N193" s="7">
        <f>Sheet1[[#This Row],[Sales]]-Sheet1[[#This Row],[Profit]]</f>
        <v>2007.1999999999998</v>
      </c>
    </row>
    <row r="194" spans="1:14" x14ac:dyDescent="0.2">
      <c r="A194">
        <v>1330</v>
      </c>
      <c r="B194" s="8">
        <v>44754</v>
      </c>
      <c r="C194" t="s">
        <v>13</v>
      </c>
      <c r="D194" t="s">
        <v>22</v>
      </c>
      <c r="E194" t="s">
        <v>24</v>
      </c>
      <c r="F194" t="s">
        <v>30</v>
      </c>
      <c r="G194">
        <v>9</v>
      </c>
      <c r="H194">
        <v>333</v>
      </c>
      <c r="I194">
        <v>0.3</v>
      </c>
      <c r="J194" s="7">
        <f>Sheet1[[#This Row],[Quantity]]*Sheet1[[#This Row],[Unit Price]]*(1-Sheet1[[#This Row],[Discount]])</f>
        <v>2097.9</v>
      </c>
      <c r="K194">
        <v>179</v>
      </c>
      <c r="L194" t="s">
        <v>32</v>
      </c>
      <c r="M194" s="7">
        <f>Sheet1[[#This Row],[Quantity]]*Sheet1[[#This Row],[Unit Price]]*(1 - Sheet1[[#This Row],[Discount]])</f>
        <v>2097.9</v>
      </c>
      <c r="N194" s="7">
        <f>Sheet1[[#This Row],[Sales]]-Sheet1[[#This Row],[Profit]]</f>
        <v>1918.9</v>
      </c>
    </row>
    <row r="195" spans="1:14" x14ac:dyDescent="0.2">
      <c r="A195">
        <v>1639</v>
      </c>
      <c r="B195" s="8">
        <v>44755</v>
      </c>
      <c r="C195" t="s">
        <v>19</v>
      </c>
      <c r="D195" t="s">
        <v>21</v>
      </c>
      <c r="E195" t="s">
        <v>25</v>
      </c>
      <c r="F195" t="s">
        <v>27</v>
      </c>
      <c r="G195">
        <v>3</v>
      </c>
      <c r="H195">
        <v>41</v>
      </c>
      <c r="I195">
        <v>0.2</v>
      </c>
      <c r="J195" s="7">
        <f>Sheet1[[#This Row],[Quantity]]*Sheet1[[#This Row],[Unit Price]]*(1-Sheet1[[#This Row],[Discount]])</f>
        <v>98.4</v>
      </c>
      <c r="K195">
        <v>10</v>
      </c>
      <c r="L195" t="s">
        <v>32</v>
      </c>
      <c r="M195" s="7">
        <f>Sheet1[[#This Row],[Quantity]]*Sheet1[[#This Row],[Unit Price]]*(1 - Sheet1[[#This Row],[Discount]])</f>
        <v>98.4</v>
      </c>
      <c r="N195" s="7">
        <f>Sheet1[[#This Row],[Sales]]-Sheet1[[#This Row],[Profit]]</f>
        <v>88.4</v>
      </c>
    </row>
    <row r="196" spans="1:14" x14ac:dyDescent="0.2">
      <c r="A196">
        <v>1505</v>
      </c>
      <c r="B196" s="8">
        <v>44756</v>
      </c>
      <c r="C196" t="s">
        <v>15</v>
      </c>
      <c r="D196" t="s">
        <v>23</v>
      </c>
      <c r="E196" t="s">
        <v>25</v>
      </c>
      <c r="F196" t="s">
        <v>28</v>
      </c>
      <c r="G196">
        <v>9</v>
      </c>
      <c r="H196">
        <v>429</v>
      </c>
      <c r="I196">
        <v>0.1</v>
      </c>
      <c r="J196" s="7">
        <f>Sheet1[[#This Row],[Quantity]]*Sheet1[[#This Row],[Unit Price]]*(1-Sheet1[[#This Row],[Discount]])</f>
        <v>3474.9</v>
      </c>
      <c r="K196">
        <v>371</v>
      </c>
      <c r="L196" t="s">
        <v>32</v>
      </c>
      <c r="M196" s="7">
        <f>Sheet1[[#This Row],[Quantity]]*Sheet1[[#This Row],[Unit Price]]*(1 - Sheet1[[#This Row],[Discount]])</f>
        <v>3474.9</v>
      </c>
      <c r="N196" s="7">
        <f>Sheet1[[#This Row],[Sales]]-Sheet1[[#This Row],[Profit]]</f>
        <v>3103.9</v>
      </c>
    </row>
    <row r="197" spans="1:14" x14ac:dyDescent="0.2">
      <c r="A197">
        <v>1347</v>
      </c>
      <c r="B197" s="8">
        <v>44757</v>
      </c>
      <c r="C197" t="s">
        <v>19</v>
      </c>
      <c r="D197" t="s">
        <v>20</v>
      </c>
      <c r="E197" t="s">
        <v>26</v>
      </c>
      <c r="F197" t="s">
        <v>30</v>
      </c>
      <c r="G197">
        <v>2</v>
      </c>
      <c r="H197">
        <v>402</v>
      </c>
      <c r="I197">
        <v>0.3</v>
      </c>
      <c r="J197" s="7">
        <f>Sheet1[[#This Row],[Quantity]]*Sheet1[[#This Row],[Unit Price]]*(1-Sheet1[[#This Row],[Discount]])</f>
        <v>562.79999999999995</v>
      </c>
      <c r="K197">
        <v>154</v>
      </c>
      <c r="L197" t="s">
        <v>33</v>
      </c>
      <c r="M197" s="7">
        <f>Sheet1[[#This Row],[Quantity]]*Sheet1[[#This Row],[Unit Price]]*(1 - Sheet1[[#This Row],[Discount]])</f>
        <v>562.79999999999995</v>
      </c>
      <c r="N197" s="7">
        <f>Sheet1[[#This Row],[Sales]]-Sheet1[[#This Row],[Profit]]</f>
        <v>408.79999999999995</v>
      </c>
    </row>
    <row r="198" spans="1:14" x14ac:dyDescent="0.2">
      <c r="A198">
        <v>1472</v>
      </c>
      <c r="B198" s="8">
        <v>44758</v>
      </c>
      <c r="C198" t="s">
        <v>13</v>
      </c>
      <c r="D198" t="s">
        <v>22</v>
      </c>
      <c r="E198" t="s">
        <v>24</v>
      </c>
      <c r="F198" t="s">
        <v>31</v>
      </c>
      <c r="G198">
        <v>9</v>
      </c>
      <c r="H198">
        <v>22</v>
      </c>
      <c r="I198">
        <v>0.2</v>
      </c>
      <c r="J198" s="7">
        <f>Sheet1[[#This Row],[Quantity]]*Sheet1[[#This Row],[Unit Price]]*(1-Sheet1[[#This Row],[Discount]])</f>
        <v>158.4</v>
      </c>
      <c r="K198">
        <v>34</v>
      </c>
      <c r="L198" t="s">
        <v>33</v>
      </c>
      <c r="M198" s="7">
        <f>Sheet1[[#This Row],[Quantity]]*Sheet1[[#This Row],[Unit Price]]*(1 - Sheet1[[#This Row],[Discount]])</f>
        <v>158.4</v>
      </c>
      <c r="N198" s="7">
        <f>Sheet1[[#This Row],[Sales]]-Sheet1[[#This Row],[Profit]]</f>
        <v>124.4</v>
      </c>
    </row>
    <row r="199" spans="1:14" x14ac:dyDescent="0.2">
      <c r="A199">
        <v>1384</v>
      </c>
      <c r="B199" s="8">
        <v>44759</v>
      </c>
      <c r="C199" t="s">
        <v>17</v>
      </c>
      <c r="D199" t="s">
        <v>22</v>
      </c>
      <c r="E199" t="s">
        <v>25</v>
      </c>
      <c r="F199" t="s">
        <v>31</v>
      </c>
      <c r="G199">
        <v>2</v>
      </c>
      <c r="H199">
        <v>381</v>
      </c>
      <c r="I199">
        <v>0.1</v>
      </c>
      <c r="J199" s="7">
        <f>Sheet1[[#This Row],[Quantity]]*Sheet1[[#This Row],[Unit Price]]*(1-Sheet1[[#This Row],[Discount]])</f>
        <v>685.80000000000007</v>
      </c>
      <c r="K199">
        <v>49</v>
      </c>
      <c r="L199" t="s">
        <v>32</v>
      </c>
      <c r="M199" s="7">
        <f>Sheet1[[#This Row],[Quantity]]*Sheet1[[#This Row],[Unit Price]]*(1 - Sheet1[[#This Row],[Discount]])</f>
        <v>685.80000000000007</v>
      </c>
      <c r="N199" s="7">
        <f>Sheet1[[#This Row],[Sales]]-Sheet1[[#This Row],[Profit]]</f>
        <v>636.80000000000007</v>
      </c>
    </row>
    <row r="200" spans="1:14" x14ac:dyDescent="0.2">
      <c r="A200">
        <v>1376</v>
      </c>
      <c r="B200" s="8">
        <v>44760</v>
      </c>
      <c r="C200" t="s">
        <v>13</v>
      </c>
      <c r="D200" t="s">
        <v>22</v>
      </c>
      <c r="E200" t="s">
        <v>25</v>
      </c>
      <c r="F200" t="s">
        <v>30</v>
      </c>
      <c r="G200">
        <v>8</v>
      </c>
      <c r="H200">
        <v>33</v>
      </c>
      <c r="I200">
        <v>0</v>
      </c>
      <c r="J200" s="7">
        <f>Sheet1[[#This Row],[Quantity]]*Sheet1[[#This Row],[Unit Price]]*(1-Sheet1[[#This Row],[Discount]])</f>
        <v>264</v>
      </c>
      <c r="K200">
        <v>71</v>
      </c>
      <c r="L200" t="s">
        <v>32</v>
      </c>
      <c r="M200" s="7">
        <f>Sheet1[[#This Row],[Quantity]]*Sheet1[[#This Row],[Unit Price]]*(1 - Sheet1[[#This Row],[Discount]])</f>
        <v>264</v>
      </c>
      <c r="N200" s="7">
        <f>Sheet1[[#This Row],[Sales]]-Sheet1[[#This Row],[Profit]]</f>
        <v>193</v>
      </c>
    </row>
    <row r="201" spans="1:14" x14ac:dyDescent="0.2">
      <c r="A201">
        <v>1282</v>
      </c>
      <c r="B201" s="8">
        <v>44761</v>
      </c>
      <c r="C201" t="s">
        <v>14</v>
      </c>
      <c r="D201" t="s">
        <v>20</v>
      </c>
      <c r="E201" t="s">
        <v>26</v>
      </c>
      <c r="F201" t="s">
        <v>30</v>
      </c>
      <c r="G201">
        <v>6</v>
      </c>
      <c r="H201">
        <v>478</v>
      </c>
      <c r="I201">
        <v>0.1</v>
      </c>
      <c r="J201" s="7">
        <f>Sheet1[[#This Row],[Quantity]]*Sheet1[[#This Row],[Unit Price]]*(1-Sheet1[[#This Row],[Discount]])</f>
        <v>2581.2000000000003</v>
      </c>
      <c r="K201">
        <v>720</v>
      </c>
      <c r="L201" t="s">
        <v>32</v>
      </c>
      <c r="M201" s="7">
        <f>Sheet1[[#This Row],[Quantity]]*Sheet1[[#This Row],[Unit Price]]*(1 - Sheet1[[#This Row],[Discount]])</f>
        <v>2581.2000000000003</v>
      </c>
      <c r="N201" s="7">
        <f>Sheet1[[#This Row],[Sales]]-Sheet1[[#This Row],[Profit]]</f>
        <v>1861.2000000000003</v>
      </c>
    </row>
    <row r="202" spans="1:14" x14ac:dyDescent="0.2">
      <c r="A202">
        <v>1957</v>
      </c>
      <c r="B202" s="8">
        <v>44762</v>
      </c>
      <c r="C202" t="s">
        <v>19</v>
      </c>
      <c r="D202" t="s">
        <v>22</v>
      </c>
      <c r="E202" t="s">
        <v>25</v>
      </c>
      <c r="F202" t="s">
        <v>31</v>
      </c>
      <c r="G202">
        <v>8</v>
      </c>
      <c r="H202">
        <v>485</v>
      </c>
      <c r="I202">
        <v>0.3</v>
      </c>
      <c r="J202" s="7">
        <f>Sheet1[[#This Row],[Quantity]]*Sheet1[[#This Row],[Unit Price]]*(1-Sheet1[[#This Row],[Discount]])</f>
        <v>2716</v>
      </c>
      <c r="K202">
        <v>479</v>
      </c>
      <c r="L202" t="s">
        <v>32</v>
      </c>
      <c r="M202" s="7">
        <f>Sheet1[[#This Row],[Quantity]]*Sheet1[[#This Row],[Unit Price]]*(1 - Sheet1[[#This Row],[Discount]])</f>
        <v>2716</v>
      </c>
      <c r="N202" s="7">
        <f>Sheet1[[#This Row],[Sales]]-Sheet1[[#This Row],[Profit]]</f>
        <v>2237</v>
      </c>
    </row>
    <row r="203" spans="1:14" x14ac:dyDescent="0.2">
      <c r="A203">
        <v>1632</v>
      </c>
      <c r="B203" s="8">
        <v>44763</v>
      </c>
      <c r="C203" t="s">
        <v>13</v>
      </c>
      <c r="D203" t="s">
        <v>21</v>
      </c>
      <c r="E203" t="s">
        <v>26</v>
      </c>
      <c r="F203" t="s">
        <v>30</v>
      </c>
      <c r="G203">
        <v>5</v>
      </c>
      <c r="H203">
        <v>31</v>
      </c>
      <c r="I203">
        <v>0.1</v>
      </c>
      <c r="J203" s="7">
        <f>Sheet1[[#This Row],[Quantity]]*Sheet1[[#This Row],[Unit Price]]*(1-Sheet1[[#This Row],[Discount]])</f>
        <v>139.5</v>
      </c>
      <c r="K203">
        <v>41</v>
      </c>
      <c r="L203" t="s">
        <v>32</v>
      </c>
      <c r="M203" s="7">
        <f>Sheet1[[#This Row],[Quantity]]*Sheet1[[#This Row],[Unit Price]]*(1 - Sheet1[[#This Row],[Discount]])</f>
        <v>139.5</v>
      </c>
      <c r="N203" s="7">
        <f>Sheet1[[#This Row],[Sales]]-Sheet1[[#This Row],[Profit]]</f>
        <v>98.5</v>
      </c>
    </row>
    <row r="204" spans="1:14" x14ac:dyDescent="0.2">
      <c r="A204">
        <v>1627</v>
      </c>
      <c r="B204" s="8">
        <v>44764</v>
      </c>
      <c r="C204" t="s">
        <v>14</v>
      </c>
      <c r="D204" t="s">
        <v>21</v>
      </c>
      <c r="E204" t="s">
        <v>24</v>
      </c>
      <c r="F204" t="s">
        <v>27</v>
      </c>
      <c r="G204">
        <v>2</v>
      </c>
      <c r="H204">
        <v>106</v>
      </c>
      <c r="I204">
        <v>0</v>
      </c>
      <c r="J204" s="7">
        <f>Sheet1[[#This Row],[Quantity]]*Sheet1[[#This Row],[Unit Price]]*(1-Sheet1[[#This Row],[Discount]])</f>
        <v>212</v>
      </c>
      <c r="K204">
        <v>33</v>
      </c>
      <c r="L204" t="s">
        <v>32</v>
      </c>
      <c r="M204" s="7">
        <f>Sheet1[[#This Row],[Quantity]]*Sheet1[[#This Row],[Unit Price]]*(1 - Sheet1[[#This Row],[Discount]])</f>
        <v>212</v>
      </c>
      <c r="N204" s="7">
        <f>Sheet1[[#This Row],[Sales]]-Sheet1[[#This Row],[Profit]]</f>
        <v>179</v>
      </c>
    </row>
    <row r="205" spans="1:14" x14ac:dyDescent="0.2">
      <c r="A205">
        <v>1972</v>
      </c>
      <c r="B205" s="8">
        <v>44765</v>
      </c>
      <c r="C205" t="s">
        <v>17</v>
      </c>
      <c r="D205" t="s">
        <v>20</v>
      </c>
      <c r="E205" t="s">
        <v>25</v>
      </c>
      <c r="F205" t="s">
        <v>28</v>
      </c>
      <c r="G205">
        <v>6</v>
      </c>
      <c r="H205">
        <v>31</v>
      </c>
      <c r="I205">
        <v>0.2</v>
      </c>
      <c r="J205" s="7">
        <f>Sheet1[[#This Row],[Quantity]]*Sheet1[[#This Row],[Unit Price]]*(1-Sheet1[[#This Row],[Discount]])</f>
        <v>148.80000000000001</v>
      </c>
      <c r="K205">
        <v>44</v>
      </c>
      <c r="L205" t="s">
        <v>32</v>
      </c>
      <c r="M205" s="7">
        <f>Sheet1[[#This Row],[Quantity]]*Sheet1[[#This Row],[Unit Price]]*(1 - Sheet1[[#This Row],[Discount]])</f>
        <v>148.80000000000001</v>
      </c>
      <c r="N205" s="7">
        <f>Sheet1[[#This Row],[Sales]]-Sheet1[[#This Row],[Profit]]</f>
        <v>104.80000000000001</v>
      </c>
    </row>
    <row r="206" spans="1:14" x14ac:dyDescent="0.2">
      <c r="A206">
        <v>1744</v>
      </c>
      <c r="B206" s="8">
        <v>44766</v>
      </c>
      <c r="C206" t="s">
        <v>16</v>
      </c>
      <c r="D206" t="s">
        <v>23</v>
      </c>
      <c r="E206" t="s">
        <v>26</v>
      </c>
      <c r="F206" t="s">
        <v>27</v>
      </c>
      <c r="G206">
        <v>5</v>
      </c>
      <c r="H206">
        <v>416</v>
      </c>
      <c r="I206">
        <v>0.3</v>
      </c>
      <c r="J206" s="7">
        <f>Sheet1[[#This Row],[Quantity]]*Sheet1[[#This Row],[Unit Price]]*(1-Sheet1[[#This Row],[Discount]])</f>
        <v>1456</v>
      </c>
      <c r="K206">
        <v>316</v>
      </c>
      <c r="L206" t="s">
        <v>32</v>
      </c>
      <c r="M206" s="7">
        <f>Sheet1[[#This Row],[Quantity]]*Sheet1[[#This Row],[Unit Price]]*(1 - Sheet1[[#This Row],[Discount]])</f>
        <v>1456</v>
      </c>
      <c r="N206" s="7">
        <f>Sheet1[[#This Row],[Sales]]-Sheet1[[#This Row],[Profit]]</f>
        <v>1140</v>
      </c>
    </row>
    <row r="207" spans="1:14" x14ac:dyDescent="0.2">
      <c r="A207">
        <v>1258</v>
      </c>
      <c r="B207" s="8">
        <v>44767</v>
      </c>
      <c r="C207" t="s">
        <v>17</v>
      </c>
      <c r="D207" t="s">
        <v>20</v>
      </c>
      <c r="E207" t="s">
        <v>26</v>
      </c>
      <c r="F207" t="s">
        <v>30</v>
      </c>
      <c r="G207">
        <v>5</v>
      </c>
      <c r="H207">
        <v>44</v>
      </c>
      <c r="I207">
        <v>0.1</v>
      </c>
      <c r="J207" s="7">
        <f>Sheet1[[#This Row],[Quantity]]*Sheet1[[#This Row],[Unit Price]]*(1-Sheet1[[#This Row],[Discount]])</f>
        <v>198</v>
      </c>
      <c r="K207">
        <v>41</v>
      </c>
      <c r="L207" t="s">
        <v>33</v>
      </c>
      <c r="M207" s="7">
        <f>Sheet1[[#This Row],[Quantity]]*Sheet1[[#This Row],[Unit Price]]*(1 - Sheet1[[#This Row],[Discount]])</f>
        <v>198</v>
      </c>
      <c r="N207" s="7">
        <f>Sheet1[[#This Row],[Sales]]-Sheet1[[#This Row],[Profit]]</f>
        <v>157</v>
      </c>
    </row>
    <row r="208" spans="1:14" x14ac:dyDescent="0.2">
      <c r="A208">
        <v>1358</v>
      </c>
      <c r="B208" s="8">
        <v>44768</v>
      </c>
      <c r="C208" t="s">
        <v>13</v>
      </c>
      <c r="D208" t="s">
        <v>20</v>
      </c>
      <c r="E208" t="s">
        <v>25</v>
      </c>
      <c r="F208" t="s">
        <v>29</v>
      </c>
      <c r="G208">
        <v>1</v>
      </c>
      <c r="H208">
        <v>320</v>
      </c>
      <c r="I208">
        <v>0.1</v>
      </c>
      <c r="J208" s="7">
        <f>Sheet1[[#This Row],[Quantity]]*Sheet1[[#This Row],[Unit Price]]*(1-Sheet1[[#This Row],[Discount]])</f>
        <v>288</v>
      </c>
      <c r="K208">
        <v>29</v>
      </c>
      <c r="L208" t="s">
        <v>32</v>
      </c>
      <c r="M208" s="7">
        <f>Sheet1[[#This Row],[Quantity]]*Sheet1[[#This Row],[Unit Price]]*(1 - Sheet1[[#This Row],[Discount]])</f>
        <v>288</v>
      </c>
      <c r="N208" s="7">
        <f>Sheet1[[#This Row],[Sales]]-Sheet1[[#This Row],[Profit]]</f>
        <v>259</v>
      </c>
    </row>
    <row r="209" spans="1:14" x14ac:dyDescent="0.2">
      <c r="A209">
        <v>1709</v>
      </c>
      <c r="B209" s="8">
        <v>44769</v>
      </c>
      <c r="C209" t="s">
        <v>19</v>
      </c>
      <c r="D209" t="s">
        <v>23</v>
      </c>
      <c r="E209" t="s">
        <v>24</v>
      </c>
      <c r="F209" t="s">
        <v>28</v>
      </c>
      <c r="G209">
        <v>2</v>
      </c>
      <c r="H209">
        <v>262</v>
      </c>
      <c r="I209">
        <v>0</v>
      </c>
      <c r="J209" s="7">
        <f>Sheet1[[#This Row],[Quantity]]*Sheet1[[#This Row],[Unit Price]]*(1-Sheet1[[#This Row],[Discount]])</f>
        <v>524</v>
      </c>
      <c r="K209">
        <v>142</v>
      </c>
      <c r="L209" t="s">
        <v>32</v>
      </c>
      <c r="M209" s="7">
        <f>Sheet1[[#This Row],[Quantity]]*Sheet1[[#This Row],[Unit Price]]*(1 - Sheet1[[#This Row],[Discount]])</f>
        <v>524</v>
      </c>
      <c r="N209" s="7">
        <f>Sheet1[[#This Row],[Sales]]-Sheet1[[#This Row],[Profit]]</f>
        <v>382</v>
      </c>
    </row>
    <row r="210" spans="1:14" x14ac:dyDescent="0.2">
      <c r="A210">
        <v>1455</v>
      </c>
      <c r="B210" s="8">
        <v>44770</v>
      </c>
      <c r="C210" t="s">
        <v>18</v>
      </c>
      <c r="D210" t="s">
        <v>23</v>
      </c>
      <c r="E210" t="s">
        <v>24</v>
      </c>
      <c r="F210" t="s">
        <v>28</v>
      </c>
      <c r="G210">
        <v>8</v>
      </c>
      <c r="H210">
        <v>141</v>
      </c>
      <c r="I210">
        <v>0.1</v>
      </c>
      <c r="J210" s="7">
        <f>Sheet1[[#This Row],[Quantity]]*Sheet1[[#This Row],[Unit Price]]*(1-Sheet1[[#This Row],[Discount]])</f>
        <v>1015.2</v>
      </c>
      <c r="K210">
        <v>159</v>
      </c>
      <c r="L210" t="s">
        <v>32</v>
      </c>
      <c r="M210" s="7">
        <f>Sheet1[[#This Row],[Quantity]]*Sheet1[[#This Row],[Unit Price]]*(1 - Sheet1[[#This Row],[Discount]])</f>
        <v>1015.2</v>
      </c>
      <c r="N210" s="7">
        <f>Sheet1[[#This Row],[Sales]]-Sheet1[[#This Row],[Profit]]</f>
        <v>856.2</v>
      </c>
    </row>
    <row r="211" spans="1:14" x14ac:dyDescent="0.2">
      <c r="A211">
        <v>1410</v>
      </c>
      <c r="B211" s="8">
        <v>44771</v>
      </c>
      <c r="C211" t="s">
        <v>13</v>
      </c>
      <c r="D211" t="s">
        <v>23</v>
      </c>
      <c r="E211" t="s">
        <v>24</v>
      </c>
      <c r="F211" t="s">
        <v>31</v>
      </c>
      <c r="G211">
        <v>3</v>
      </c>
      <c r="H211">
        <v>166</v>
      </c>
      <c r="I211">
        <v>0.1</v>
      </c>
      <c r="J211" s="7">
        <f>Sheet1[[#This Row],[Quantity]]*Sheet1[[#This Row],[Unit Price]]*(1-Sheet1[[#This Row],[Discount]])</f>
        <v>448.2</v>
      </c>
      <c r="K211">
        <v>45</v>
      </c>
      <c r="L211" t="s">
        <v>32</v>
      </c>
      <c r="M211" s="7">
        <f>Sheet1[[#This Row],[Quantity]]*Sheet1[[#This Row],[Unit Price]]*(1 - Sheet1[[#This Row],[Discount]])</f>
        <v>448.2</v>
      </c>
      <c r="N211" s="7">
        <f>Sheet1[[#This Row],[Sales]]-Sheet1[[#This Row],[Profit]]</f>
        <v>403.2</v>
      </c>
    </row>
    <row r="212" spans="1:14" x14ac:dyDescent="0.2">
      <c r="A212">
        <v>1648</v>
      </c>
      <c r="B212" s="8">
        <v>44772</v>
      </c>
      <c r="C212" t="s">
        <v>18</v>
      </c>
      <c r="D212" t="s">
        <v>21</v>
      </c>
      <c r="E212" t="s">
        <v>26</v>
      </c>
      <c r="F212" t="s">
        <v>31</v>
      </c>
      <c r="G212">
        <v>3</v>
      </c>
      <c r="H212">
        <v>74</v>
      </c>
      <c r="I212">
        <v>0.1</v>
      </c>
      <c r="J212" s="7">
        <f>Sheet1[[#This Row],[Quantity]]*Sheet1[[#This Row],[Unit Price]]*(1-Sheet1[[#This Row],[Discount]])</f>
        <v>199.8</v>
      </c>
      <c r="K212">
        <v>11</v>
      </c>
      <c r="L212" t="s">
        <v>32</v>
      </c>
      <c r="M212" s="7">
        <f>Sheet1[[#This Row],[Quantity]]*Sheet1[[#This Row],[Unit Price]]*(1 - Sheet1[[#This Row],[Discount]])</f>
        <v>199.8</v>
      </c>
      <c r="N212" s="7">
        <f>Sheet1[[#This Row],[Sales]]-Sheet1[[#This Row],[Profit]]</f>
        <v>188.8</v>
      </c>
    </row>
    <row r="213" spans="1:14" x14ac:dyDescent="0.2">
      <c r="A213">
        <v>1317</v>
      </c>
      <c r="B213" s="8">
        <v>44773</v>
      </c>
      <c r="C213" t="s">
        <v>14</v>
      </c>
      <c r="D213" t="s">
        <v>22</v>
      </c>
      <c r="E213" t="s">
        <v>26</v>
      </c>
      <c r="F213" t="s">
        <v>29</v>
      </c>
      <c r="G213">
        <v>8</v>
      </c>
      <c r="H213">
        <v>257</v>
      </c>
      <c r="I213">
        <v>0.3</v>
      </c>
      <c r="J213" s="7">
        <f>Sheet1[[#This Row],[Quantity]]*Sheet1[[#This Row],[Unit Price]]*(1-Sheet1[[#This Row],[Discount]])</f>
        <v>1439.1999999999998</v>
      </c>
      <c r="K213">
        <v>273</v>
      </c>
      <c r="L213" t="s">
        <v>32</v>
      </c>
      <c r="M213" s="7">
        <f>Sheet1[[#This Row],[Quantity]]*Sheet1[[#This Row],[Unit Price]]*(1 - Sheet1[[#This Row],[Discount]])</f>
        <v>1439.1999999999998</v>
      </c>
      <c r="N213" s="7">
        <f>Sheet1[[#This Row],[Sales]]-Sheet1[[#This Row],[Profit]]</f>
        <v>1166.1999999999998</v>
      </c>
    </row>
    <row r="214" spans="1:14" x14ac:dyDescent="0.2">
      <c r="A214">
        <v>1676</v>
      </c>
      <c r="B214" s="8">
        <v>44774</v>
      </c>
      <c r="C214" t="s">
        <v>16</v>
      </c>
      <c r="D214" t="s">
        <v>21</v>
      </c>
      <c r="E214" t="s">
        <v>26</v>
      </c>
      <c r="F214" t="s">
        <v>28</v>
      </c>
      <c r="G214">
        <v>8</v>
      </c>
      <c r="H214">
        <v>375</v>
      </c>
      <c r="I214">
        <v>0.3</v>
      </c>
      <c r="J214" s="7">
        <f>Sheet1[[#This Row],[Quantity]]*Sheet1[[#This Row],[Unit Price]]*(1-Sheet1[[#This Row],[Discount]])</f>
        <v>2100</v>
      </c>
      <c r="K214">
        <v>382</v>
      </c>
      <c r="L214" t="s">
        <v>32</v>
      </c>
      <c r="M214" s="7">
        <f>Sheet1[[#This Row],[Quantity]]*Sheet1[[#This Row],[Unit Price]]*(1 - Sheet1[[#This Row],[Discount]])</f>
        <v>2100</v>
      </c>
      <c r="N214" s="7">
        <f>Sheet1[[#This Row],[Sales]]-Sheet1[[#This Row],[Profit]]</f>
        <v>1718</v>
      </c>
    </row>
    <row r="215" spans="1:14" x14ac:dyDescent="0.2">
      <c r="A215">
        <v>1224</v>
      </c>
      <c r="B215" s="8">
        <v>44775</v>
      </c>
      <c r="C215" t="s">
        <v>15</v>
      </c>
      <c r="D215" t="s">
        <v>22</v>
      </c>
      <c r="E215" t="s">
        <v>26</v>
      </c>
      <c r="F215" t="s">
        <v>29</v>
      </c>
      <c r="G215">
        <v>2</v>
      </c>
      <c r="H215">
        <v>192</v>
      </c>
      <c r="I215">
        <v>0.3</v>
      </c>
      <c r="J215" s="7">
        <f>Sheet1[[#This Row],[Quantity]]*Sheet1[[#This Row],[Unit Price]]*(1-Sheet1[[#This Row],[Discount]])</f>
        <v>268.79999999999995</v>
      </c>
      <c r="K215">
        <v>62</v>
      </c>
      <c r="L215" t="s">
        <v>32</v>
      </c>
      <c r="M215" s="7">
        <f>Sheet1[[#This Row],[Quantity]]*Sheet1[[#This Row],[Unit Price]]*(1 - Sheet1[[#This Row],[Discount]])</f>
        <v>268.79999999999995</v>
      </c>
      <c r="N215" s="7">
        <f>Sheet1[[#This Row],[Sales]]-Sheet1[[#This Row],[Profit]]</f>
        <v>206.79999999999995</v>
      </c>
    </row>
    <row r="216" spans="1:14" x14ac:dyDescent="0.2">
      <c r="A216">
        <v>1233</v>
      </c>
      <c r="B216" s="8">
        <v>44776</v>
      </c>
      <c r="C216" t="s">
        <v>16</v>
      </c>
      <c r="D216" t="s">
        <v>22</v>
      </c>
      <c r="E216" t="s">
        <v>25</v>
      </c>
      <c r="F216" t="s">
        <v>31</v>
      </c>
      <c r="G216">
        <v>1</v>
      </c>
      <c r="H216">
        <v>240</v>
      </c>
      <c r="I216">
        <v>0.3</v>
      </c>
      <c r="J216" s="7">
        <f>Sheet1[[#This Row],[Quantity]]*Sheet1[[#This Row],[Unit Price]]*(1-Sheet1[[#This Row],[Discount]])</f>
        <v>168</v>
      </c>
      <c r="K216">
        <v>12</v>
      </c>
      <c r="L216" t="s">
        <v>32</v>
      </c>
      <c r="M216" s="7">
        <f>Sheet1[[#This Row],[Quantity]]*Sheet1[[#This Row],[Unit Price]]*(1 - Sheet1[[#This Row],[Discount]])</f>
        <v>168</v>
      </c>
      <c r="N216" s="7">
        <f>Sheet1[[#This Row],[Sales]]-Sheet1[[#This Row],[Profit]]</f>
        <v>156</v>
      </c>
    </row>
    <row r="217" spans="1:14" x14ac:dyDescent="0.2">
      <c r="A217">
        <v>1974</v>
      </c>
      <c r="B217" s="8">
        <v>44777</v>
      </c>
      <c r="C217" t="s">
        <v>17</v>
      </c>
      <c r="D217" t="s">
        <v>20</v>
      </c>
      <c r="E217" t="s">
        <v>24</v>
      </c>
      <c r="F217" t="s">
        <v>30</v>
      </c>
      <c r="G217">
        <v>3</v>
      </c>
      <c r="H217">
        <v>202</v>
      </c>
      <c r="I217">
        <v>0.2</v>
      </c>
      <c r="J217" s="7">
        <f>Sheet1[[#This Row],[Quantity]]*Sheet1[[#This Row],[Unit Price]]*(1-Sheet1[[#This Row],[Discount]])</f>
        <v>484.8</v>
      </c>
      <c r="K217">
        <v>128</v>
      </c>
      <c r="L217" t="s">
        <v>32</v>
      </c>
      <c r="M217" s="7">
        <f>Sheet1[[#This Row],[Quantity]]*Sheet1[[#This Row],[Unit Price]]*(1 - Sheet1[[#This Row],[Discount]])</f>
        <v>484.8</v>
      </c>
      <c r="N217" s="7">
        <f>Sheet1[[#This Row],[Sales]]-Sheet1[[#This Row],[Profit]]</f>
        <v>356.8</v>
      </c>
    </row>
    <row r="218" spans="1:14" x14ac:dyDescent="0.2">
      <c r="A218">
        <v>1826</v>
      </c>
      <c r="B218" s="8">
        <v>44778</v>
      </c>
      <c r="C218" t="s">
        <v>18</v>
      </c>
      <c r="D218" t="s">
        <v>21</v>
      </c>
      <c r="E218" t="s">
        <v>25</v>
      </c>
      <c r="F218" t="s">
        <v>31</v>
      </c>
      <c r="G218">
        <v>8</v>
      </c>
      <c r="H218">
        <v>307</v>
      </c>
      <c r="I218">
        <v>0.1</v>
      </c>
      <c r="J218" s="7">
        <f>Sheet1[[#This Row],[Quantity]]*Sheet1[[#This Row],[Unit Price]]*(1-Sheet1[[#This Row],[Discount]])</f>
        <v>2210.4</v>
      </c>
      <c r="K218">
        <v>626</v>
      </c>
      <c r="L218" t="s">
        <v>32</v>
      </c>
      <c r="M218" s="7">
        <f>Sheet1[[#This Row],[Quantity]]*Sheet1[[#This Row],[Unit Price]]*(1 - Sheet1[[#This Row],[Discount]])</f>
        <v>2210.4</v>
      </c>
      <c r="N218" s="7">
        <f>Sheet1[[#This Row],[Sales]]-Sheet1[[#This Row],[Profit]]</f>
        <v>1584.4</v>
      </c>
    </row>
    <row r="219" spans="1:14" x14ac:dyDescent="0.2">
      <c r="A219">
        <v>1373</v>
      </c>
      <c r="B219" s="8">
        <v>44779</v>
      </c>
      <c r="C219" t="s">
        <v>19</v>
      </c>
      <c r="D219" t="s">
        <v>22</v>
      </c>
      <c r="E219" t="s">
        <v>25</v>
      </c>
      <c r="F219" t="s">
        <v>31</v>
      </c>
      <c r="G219">
        <v>1</v>
      </c>
      <c r="H219">
        <v>326</v>
      </c>
      <c r="I219">
        <v>0.1</v>
      </c>
      <c r="J219" s="7">
        <f>Sheet1[[#This Row],[Quantity]]*Sheet1[[#This Row],[Unit Price]]*(1-Sheet1[[#This Row],[Discount]])</f>
        <v>293.40000000000003</v>
      </c>
      <c r="K219">
        <v>60</v>
      </c>
      <c r="L219" t="s">
        <v>32</v>
      </c>
      <c r="M219" s="7">
        <f>Sheet1[[#This Row],[Quantity]]*Sheet1[[#This Row],[Unit Price]]*(1 - Sheet1[[#This Row],[Discount]])</f>
        <v>293.40000000000003</v>
      </c>
      <c r="N219" s="7">
        <f>Sheet1[[#This Row],[Sales]]-Sheet1[[#This Row],[Profit]]</f>
        <v>233.40000000000003</v>
      </c>
    </row>
    <row r="220" spans="1:14" x14ac:dyDescent="0.2">
      <c r="A220">
        <v>1671</v>
      </c>
      <c r="B220" s="8">
        <v>44780</v>
      </c>
      <c r="C220" t="s">
        <v>18</v>
      </c>
      <c r="D220" t="s">
        <v>23</v>
      </c>
      <c r="E220" t="s">
        <v>24</v>
      </c>
      <c r="F220" t="s">
        <v>27</v>
      </c>
      <c r="G220">
        <v>9</v>
      </c>
      <c r="H220">
        <v>319</v>
      </c>
      <c r="I220">
        <v>0.3</v>
      </c>
      <c r="J220" s="7">
        <f>Sheet1[[#This Row],[Quantity]]*Sheet1[[#This Row],[Unit Price]]*(1-Sheet1[[#This Row],[Discount]])</f>
        <v>2009.6999999999998</v>
      </c>
      <c r="K220">
        <v>457</v>
      </c>
      <c r="L220" t="s">
        <v>32</v>
      </c>
      <c r="M220" s="7">
        <f>Sheet1[[#This Row],[Quantity]]*Sheet1[[#This Row],[Unit Price]]*(1 - Sheet1[[#This Row],[Discount]])</f>
        <v>2009.6999999999998</v>
      </c>
      <c r="N220" s="7">
        <f>Sheet1[[#This Row],[Sales]]-Sheet1[[#This Row],[Profit]]</f>
        <v>1552.6999999999998</v>
      </c>
    </row>
    <row r="221" spans="1:14" x14ac:dyDescent="0.2">
      <c r="A221">
        <v>1607</v>
      </c>
      <c r="B221" s="8">
        <v>44781</v>
      </c>
      <c r="C221" t="s">
        <v>19</v>
      </c>
      <c r="D221" t="s">
        <v>21</v>
      </c>
      <c r="E221" t="s">
        <v>24</v>
      </c>
      <c r="F221" t="s">
        <v>27</v>
      </c>
      <c r="G221">
        <v>9</v>
      </c>
      <c r="H221">
        <v>101</v>
      </c>
      <c r="I221">
        <v>0</v>
      </c>
      <c r="J221" s="7">
        <f>Sheet1[[#This Row],[Quantity]]*Sheet1[[#This Row],[Unit Price]]*(1-Sheet1[[#This Row],[Discount]])</f>
        <v>909</v>
      </c>
      <c r="K221">
        <v>117</v>
      </c>
      <c r="L221" t="s">
        <v>32</v>
      </c>
      <c r="M221" s="7">
        <f>Sheet1[[#This Row],[Quantity]]*Sheet1[[#This Row],[Unit Price]]*(1 - Sheet1[[#This Row],[Discount]])</f>
        <v>909</v>
      </c>
      <c r="N221" s="7">
        <f>Sheet1[[#This Row],[Sales]]-Sheet1[[#This Row],[Profit]]</f>
        <v>792</v>
      </c>
    </row>
    <row r="222" spans="1:14" x14ac:dyDescent="0.2">
      <c r="A222">
        <v>1471</v>
      </c>
      <c r="B222" s="8">
        <v>44782</v>
      </c>
      <c r="C222" t="s">
        <v>14</v>
      </c>
      <c r="D222" t="s">
        <v>21</v>
      </c>
      <c r="E222" t="s">
        <v>25</v>
      </c>
      <c r="F222" t="s">
        <v>29</v>
      </c>
      <c r="G222">
        <v>5</v>
      </c>
      <c r="H222">
        <v>473</v>
      </c>
      <c r="I222">
        <v>0.1</v>
      </c>
      <c r="J222" s="7">
        <f>Sheet1[[#This Row],[Quantity]]*Sheet1[[#This Row],[Unit Price]]*(1-Sheet1[[#This Row],[Discount]])</f>
        <v>2128.5</v>
      </c>
      <c r="K222">
        <v>357</v>
      </c>
      <c r="L222" t="s">
        <v>32</v>
      </c>
      <c r="M222" s="7">
        <f>Sheet1[[#This Row],[Quantity]]*Sheet1[[#This Row],[Unit Price]]*(1 - Sheet1[[#This Row],[Discount]])</f>
        <v>2128.5</v>
      </c>
      <c r="N222" s="7">
        <f>Sheet1[[#This Row],[Sales]]-Sheet1[[#This Row],[Profit]]</f>
        <v>1771.5</v>
      </c>
    </row>
    <row r="223" spans="1:14" x14ac:dyDescent="0.2">
      <c r="A223">
        <v>1232</v>
      </c>
      <c r="B223" s="8">
        <v>44783</v>
      </c>
      <c r="C223" t="s">
        <v>17</v>
      </c>
      <c r="D223" t="s">
        <v>23</v>
      </c>
      <c r="E223" t="s">
        <v>26</v>
      </c>
      <c r="F223" t="s">
        <v>29</v>
      </c>
      <c r="G223">
        <v>4</v>
      </c>
      <c r="H223">
        <v>421</v>
      </c>
      <c r="I223">
        <v>0</v>
      </c>
      <c r="J223" s="7">
        <f>Sheet1[[#This Row],[Quantity]]*Sheet1[[#This Row],[Unit Price]]*(1-Sheet1[[#This Row],[Discount]])</f>
        <v>1684</v>
      </c>
      <c r="K223">
        <v>430</v>
      </c>
      <c r="L223" t="s">
        <v>32</v>
      </c>
      <c r="M223" s="7">
        <f>Sheet1[[#This Row],[Quantity]]*Sheet1[[#This Row],[Unit Price]]*(1 - Sheet1[[#This Row],[Discount]])</f>
        <v>1684</v>
      </c>
      <c r="N223" s="7">
        <f>Sheet1[[#This Row],[Sales]]-Sheet1[[#This Row],[Profit]]</f>
        <v>1254</v>
      </c>
    </row>
    <row r="224" spans="1:14" x14ac:dyDescent="0.2">
      <c r="A224">
        <v>1691</v>
      </c>
      <c r="B224" s="8">
        <v>44784</v>
      </c>
      <c r="C224" t="s">
        <v>17</v>
      </c>
      <c r="D224" t="s">
        <v>21</v>
      </c>
      <c r="E224" t="s">
        <v>25</v>
      </c>
      <c r="F224" t="s">
        <v>30</v>
      </c>
      <c r="G224">
        <v>6</v>
      </c>
      <c r="H224">
        <v>230</v>
      </c>
      <c r="I224">
        <v>0.1</v>
      </c>
      <c r="J224" s="7">
        <f>Sheet1[[#This Row],[Quantity]]*Sheet1[[#This Row],[Unit Price]]*(1-Sheet1[[#This Row],[Discount]])</f>
        <v>1242</v>
      </c>
      <c r="K224">
        <v>205</v>
      </c>
      <c r="L224" t="s">
        <v>32</v>
      </c>
      <c r="M224" s="7">
        <f>Sheet1[[#This Row],[Quantity]]*Sheet1[[#This Row],[Unit Price]]*(1 - Sheet1[[#This Row],[Discount]])</f>
        <v>1242</v>
      </c>
      <c r="N224" s="7">
        <f>Sheet1[[#This Row],[Sales]]-Sheet1[[#This Row],[Profit]]</f>
        <v>1037</v>
      </c>
    </row>
    <row r="225" spans="1:14" x14ac:dyDescent="0.2">
      <c r="A225">
        <v>1112</v>
      </c>
      <c r="B225" s="8">
        <v>44785</v>
      </c>
      <c r="C225" t="s">
        <v>15</v>
      </c>
      <c r="D225" t="s">
        <v>20</v>
      </c>
      <c r="E225" t="s">
        <v>24</v>
      </c>
      <c r="F225" t="s">
        <v>30</v>
      </c>
      <c r="G225">
        <v>7</v>
      </c>
      <c r="H225">
        <v>169</v>
      </c>
      <c r="I225">
        <v>0.1</v>
      </c>
      <c r="J225" s="7">
        <f>Sheet1[[#This Row],[Quantity]]*Sheet1[[#This Row],[Unit Price]]*(1-Sheet1[[#This Row],[Discount]])</f>
        <v>1064.7</v>
      </c>
      <c r="K225">
        <v>148</v>
      </c>
      <c r="L225" t="s">
        <v>32</v>
      </c>
      <c r="M225" s="7">
        <f>Sheet1[[#This Row],[Quantity]]*Sheet1[[#This Row],[Unit Price]]*(1 - Sheet1[[#This Row],[Discount]])</f>
        <v>1064.7</v>
      </c>
      <c r="N225" s="7">
        <f>Sheet1[[#This Row],[Sales]]-Sheet1[[#This Row],[Profit]]</f>
        <v>916.7</v>
      </c>
    </row>
    <row r="226" spans="1:14" x14ac:dyDescent="0.2">
      <c r="A226">
        <v>1829</v>
      </c>
      <c r="B226" s="8">
        <v>44786</v>
      </c>
      <c r="C226" t="s">
        <v>13</v>
      </c>
      <c r="D226" t="s">
        <v>21</v>
      </c>
      <c r="E226" t="s">
        <v>26</v>
      </c>
      <c r="F226" t="s">
        <v>28</v>
      </c>
      <c r="G226">
        <v>5</v>
      </c>
      <c r="H226">
        <v>56</v>
      </c>
      <c r="I226">
        <v>0</v>
      </c>
      <c r="J226" s="7">
        <f>Sheet1[[#This Row],[Quantity]]*Sheet1[[#This Row],[Unit Price]]*(1-Sheet1[[#This Row],[Discount]])</f>
        <v>280</v>
      </c>
      <c r="K226">
        <v>49</v>
      </c>
      <c r="L226" t="s">
        <v>32</v>
      </c>
      <c r="M226" s="7">
        <f>Sheet1[[#This Row],[Quantity]]*Sheet1[[#This Row],[Unit Price]]*(1 - Sheet1[[#This Row],[Discount]])</f>
        <v>280</v>
      </c>
      <c r="N226" s="7">
        <f>Sheet1[[#This Row],[Sales]]-Sheet1[[#This Row],[Profit]]</f>
        <v>231</v>
      </c>
    </row>
    <row r="227" spans="1:14" x14ac:dyDescent="0.2">
      <c r="A227">
        <v>1496</v>
      </c>
      <c r="B227" s="8">
        <v>44787</v>
      </c>
      <c r="C227" t="s">
        <v>19</v>
      </c>
      <c r="D227" t="s">
        <v>20</v>
      </c>
      <c r="E227" t="s">
        <v>26</v>
      </c>
      <c r="F227" t="s">
        <v>29</v>
      </c>
      <c r="G227">
        <v>9</v>
      </c>
      <c r="H227">
        <v>371</v>
      </c>
      <c r="I227">
        <v>0.1</v>
      </c>
      <c r="J227" s="7">
        <f>Sheet1[[#This Row],[Quantity]]*Sheet1[[#This Row],[Unit Price]]*(1-Sheet1[[#This Row],[Discount]])</f>
        <v>3005.1</v>
      </c>
      <c r="K227">
        <v>858</v>
      </c>
      <c r="L227" t="s">
        <v>32</v>
      </c>
      <c r="M227" s="7">
        <f>Sheet1[[#This Row],[Quantity]]*Sheet1[[#This Row],[Unit Price]]*(1 - Sheet1[[#This Row],[Discount]])</f>
        <v>3005.1</v>
      </c>
      <c r="N227" s="7">
        <f>Sheet1[[#This Row],[Sales]]-Sheet1[[#This Row],[Profit]]</f>
        <v>2147.1</v>
      </c>
    </row>
    <row r="228" spans="1:14" x14ac:dyDescent="0.2">
      <c r="A228">
        <v>1441</v>
      </c>
      <c r="B228" s="8">
        <v>44788</v>
      </c>
      <c r="C228" t="s">
        <v>15</v>
      </c>
      <c r="D228" t="s">
        <v>20</v>
      </c>
      <c r="E228" t="s">
        <v>24</v>
      </c>
      <c r="F228" t="s">
        <v>31</v>
      </c>
      <c r="G228">
        <v>3</v>
      </c>
      <c r="H228">
        <v>331</v>
      </c>
      <c r="I228">
        <v>0.1</v>
      </c>
      <c r="J228" s="7">
        <f>Sheet1[[#This Row],[Quantity]]*Sheet1[[#This Row],[Unit Price]]*(1-Sheet1[[#This Row],[Discount]])</f>
        <v>893.7</v>
      </c>
      <c r="K228">
        <v>120</v>
      </c>
      <c r="L228" t="s">
        <v>32</v>
      </c>
      <c r="M228" s="7">
        <f>Sheet1[[#This Row],[Quantity]]*Sheet1[[#This Row],[Unit Price]]*(1 - Sheet1[[#This Row],[Discount]])</f>
        <v>893.7</v>
      </c>
      <c r="N228" s="7">
        <f>Sheet1[[#This Row],[Sales]]-Sheet1[[#This Row],[Profit]]</f>
        <v>773.7</v>
      </c>
    </row>
    <row r="229" spans="1:14" x14ac:dyDescent="0.2">
      <c r="A229">
        <v>1563</v>
      </c>
      <c r="B229" s="8">
        <v>44789</v>
      </c>
      <c r="C229" t="s">
        <v>18</v>
      </c>
      <c r="D229" t="s">
        <v>23</v>
      </c>
      <c r="E229" t="s">
        <v>24</v>
      </c>
      <c r="F229" t="s">
        <v>29</v>
      </c>
      <c r="G229">
        <v>7</v>
      </c>
      <c r="H229">
        <v>380</v>
      </c>
      <c r="I229">
        <v>0</v>
      </c>
      <c r="J229" s="7">
        <f>Sheet1[[#This Row],[Quantity]]*Sheet1[[#This Row],[Unit Price]]*(1-Sheet1[[#This Row],[Discount]])</f>
        <v>2660</v>
      </c>
      <c r="K229">
        <v>249</v>
      </c>
      <c r="L229" t="s">
        <v>32</v>
      </c>
      <c r="M229" s="7">
        <f>Sheet1[[#This Row],[Quantity]]*Sheet1[[#This Row],[Unit Price]]*(1 - Sheet1[[#This Row],[Discount]])</f>
        <v>2660</v>
      </c>
      <c r="N229" s="7">
        <f>Sheet1[[#This Row],[Sales]]-Sheet1[[#This Row],[Profit]]</f>
        <v>2411</v>
      </c>
    </row>
    <row r="230" spans="1:14" x14ac:dyDescent="0.2">
      <c r="A230">
        <v>1267</v>
      </c>
      <c r="B230" s="8">
        <v>44790</v>
      </c>
      <c r="C230" t="s">
        <v>18</v>
      </c>
      <c r="D230" t="s">
        <v>21</v>
      </c>
      <c r="E230" t="s">
        <v>24</v>
      </c>
      <c r="F230" t="s">
        <v>31</v>
      </c>
      <c r="G230">
        <v>5</v>
      </c>
      <c r="H230">
        <v>78</v>
      </c>
      <c r="I230">
        <v>0.1</v>
      </c>
      <c r="J230" s="7">
        <f>Sheet1[[#This Row],[Quantity]]*Sheet1[[#This Row],[Unit Price]]*(1-Sheet1[[#This Row],[Discount]])</f>
        <v>351</v>
      </c>
      <c r="K230">
        <v>80</v>
      </c>
      <c r="L230" t="s">
        <v>32</v>
      </c>
      <c r="M230" s="7">
        <f>Sheet1[[#This Row],[Quantity]]*Sheet1[[#This Row],[Unit Price]]*(1 - Sheet1[[#This Row],[Discount]])</f>
        <v>351</v>
      </c>
      <c r="N230" s="7">
        <f>Sheet1[[#This Row],[Sales]]-Sheet1[[#This Row],[Profit]]</f>
        <v>271</v>
      </c>
    </row>
    <row r="231" spans="1:14" x14ac:dyDescent="0.2">
      <c r="A231">
        <v>1509</v>
      </c>
      <c r="B231" s="8">
        <v>44791</v>
      </c>
      <c r="C231" t="s">
        <v>15</v>
      </c>
      <c r="D231" t="s">
        <v>23</v>
      </c>
      <c r="E231" t="s">
        <v>25</v>
      </c>
      <c r="F231" t="s">
        <v>27</v>
      </c>
      <c r="G231">
        <v>7</v>
      </c>
      <c r="H231">
        <v>150</v>
      </c>
      <c r="I231">
        <v>0.2</v>
      </c>
      <c r="J231" s="7">
        <f>Sheet1[[#This Row],[Quantity]]*Sheet1[[#This Row],[Unit Price]]*(1-Sheet1[[#This Row],[Discount]])</f>
        <v>840</v>
      </c>
      <c r="K231">
        <v>215</v>
      </c>
      <c r="L231" t="s">
        <v>32</v>
      </c>
      <c r="M231" s="7">
        <f>Sheet1[[#This Row],[Quantity]]*Sheet1[[#This Row],[Unit Price]]*(1 - Sheet1[[#This Row],[Discount]])</f>
        <v>840</v>
      </c>
      <c r="N231" s="7">
        <f>Sheet1[[#This Row],[Sales]]-Sheet1[[#This Row],[Profit]]</f>
        <v>625</v>
      </c>
    </row>
    <row r="232" spans="1:14" x14ac:dyDescent="0.2">
      <c r="A232">
        <v>1806</v>
      </c>
      <c r="B232" s="8">
        <v>44792</v>
      </c>
      <c r="C232" t="s">
        <v>17</v>
      </c>
      <c r="D232" t="s">
        <v>21</v>
      </c>
      <c r="E232" t="s">
        <v>25</v>
      </c>
      <c r="F232" t="s">
        <v>29</v>
      </c>
      <c r="G232">
        <v>2</v>
      </c>
      <c r="H232">
        <v>431</v>
      </c>
      <c r="I232">
        <v>0.1</v>
      </c>
      <c r="J232" s="7">
        <f>Sheet1[[#This Row],[Quantity]]*Sheet1[[#This Row],[Unit Price]]*(1-Sheet1[[#This Row],[Discount]])</f>
        <v>775.80000000000007</v>
      </c>
      <c r="K232">
        <v>65</v>
      </c>
      <c r="L232" t="s">
        <v>32</v>
      </c>
      <c r="M232" s="7">
        <f>Sheet1[[#This Row],[Quantity]]*Sheet1[[#This Row],[Unit Price]]*(1 - Sheet1[[#This Row],[Discount]])</f>
        <v>775.80000000000007</v>
      </c>
      <c r="N232" s="7">
        <f>Sheet1[[#This Row],[Sales]]-Sheet1[[#This Row],[Profit]]</f>
        <v>710.80000000000007</v>
      </c>
    </row>
    <row r="233" spans="1:14" x14ac:dyDescent="0.2">
      <c r="A233">
        <v>1385</v>
      </c>
      <c r="B233" s="8">
        <v>44793</v>
      </c>
      <c r="C233" t="s">
        <v>18</v>
      </c>
      <c r="D233" t="s">
        <v>21</v>
      </c>
      <c r="E233" t="s">
        <v>26</v>
      </c>
      <c r="F233" t="s">
        <v>27</v>
      </c>
      <c r="G233">
        <v>4</v>
      </c>
      <c r="H233">
        <v>221</v>
      </c>
      <c r="I233">
        <v>0.3</v>
      </c>
      <c r="J233" s="7">
        <f>Sheet1[[#This Row],[Quantity]]*Sheet1[[#This Row],[Unit Price]]*(1-Sheet1[[#This Row],[Discount]])</f>
        <v>618.79999999999995</v>
      </c>
      <c r="K233">
        <v>68</v>
      </c>
      <c r="L233" t="s">
        <v>32</v>
      </c>
      <c r="M233" s="7">
        <f>Sheet1[[#This Row],[Quantity]]*Sheet1[[#This Row],[Unit Price]]*(1 - Sheet1[[#This Row],[Discount]])</f>
        <v>618.79999999999995</v>
      </c>
      <c r="N233" s="7">
        <f>Sheet1[[#This Row],[Sales]]-Sheet1[[#This Row],[Profit]]</f>
        <v>550.79999999999995</v>
      </c>
    </row>
    <row r="234" spans="1:14" x14ac:dyDescent="0.2">
      <c r="A234">
        <v>1386</v>
      </c>
      <c r="B234" s="8">
        <v>44794</v>
      </c>
      <c r="C234" t="s">
        <v>14</v>
      </c>
      <c r="D234" t="s">
        <v>22</v>
      </c>
      <c r="E234" t="s">
        <v>24</v>
      </c>
      <c r="F234" t="s">
        <v>30</v>
      </c>
      <c r="G234">
        <v>2</v>
      </c>
      <c r="H234">
        <v>262</v>
      </c>
      <c r="I234">
        <v>0.1</v>
      </c>
      <c r="J234" s="7">
        <f>Sheet1[[#This Row],[Quantity]]*Sheet1[[#This Row],[Unit Price]]*(1-Sheet1[[#This Row],[Discount]])</f>
        <v>471.6</v>
      </c>
      <c r="K234">
        <v>40</v>
      </c>
      <c r="L234" t="s">
        <v>32</v>
      </c>
      <c r="M234" s="7">
        <f>Sheet1[[#This Row],[Quantity]]*Sheet1[[#This Row],[Unit Price]]*(1 - Sheet1[[#This Row],[Discount]])</f>
        <v>471.6</v>
      </c>
      <c r="N234" s="7">
        <f>Sheet1[[#This Row],[Sales]]-Sheet1[[#This Row],[Profit]]</f>
        <v>431.6</v>
      </c>
    </row>
    <row r="235" spans="1:14" x14ac:dyDescent="0.2">
      <c r="A235">
        <v>1612</v>
      </c>
      <c r="B235" s="8">
        <v>44795</v>
      </c>
      <c r="C235" t="s">
        <v>15</v>
      </c>
      <c r="D235" t="s">
        <v>23</v>
      </c>
      <c r="E235" t="s">
        <v>26</v>
      </c>
      <c r="F235" t="s">
        <v>28</v>
      </c>
      <c r="G235">
        <v>2</v>
      </c>
      <c r="H235">
        <v>464</v>
      </c>
      <c r="I235">
        <v>0.3</v>
      </c>
      <c r="J235" s="7">
        <f>Sheet1[[#This Row],[Quantity]]*Sheet1[[#This Row],[Unit Price]]*(1-Sheet1[[#This Row],[Discount]])</f>
        <v>649.59999999999991</v>
      </c>
      <c r="K235">
        <v>106</v>
      </c>
      <c r="L235" t="s">
        <v>32</v>
      </c>
      <c r="M235" s="7">
        <f>Sheet1[[#This Row],[Quantity]]*Sheet1[[#This Row],[Unit Price]]*(1 - Sheet1[[#This Row],[Discount]])</f>
        <v>649.59999999999991</v>
      </c>
      <c r="N235" s="7">
        <f>Sheet1[[#This Row],[Sales]]-Sheet1[[#This Row],[Profit]]</f>
        <v>543.59999999999991</v>
      </c>
    </row>
    <row r="236" spans="1:14" x14ac:dyDescent="0.2">
      <c r="A236">
        <v>1624</v>
      </c>
      <c r="B236" s="8">
        <v>44796</v>
      </c>
      <c r="C236" t="s">
        <v>19</v>
      </c>
      <c r="D236" t="s">
        <v>20</v>
      </c>
      <c r="E236" t="s">
        <v>26</v>
      </c>
      <c r="F236" t="s">
        <v>29</v>
      </c>
      <c r="G236">
        <v>1</v>
      </c>
      <c r="H236">
        <v>112</v>
      </c>
      <c r="I236">
        <v>0.3</v>
      </c>
      <c r="J236" s="7">
        <f>Sheet1[[#This Row],[Quantity]]*Sheet1[[#This Row],[Unit Price]]*(1-Sheet1[[#This Row],[Discount]])</f>
        <v>78.399999999999991</v>
      </c>
      <c r="K236">
        <v>19</v>
      </c>
      <c r="L236" t="s">
        <v>32</v>
      </c>
      <c r="M236" s="7">
        <f>Sheet1[[#This Row],[Quantity]]*Sheet1[[#This Row],[Unit Price]]*(1 - Sheet1[[#This Row],[Discount]])</f>
        <v>78.399999999999991</v>
      </c>
      <c r="N236" s="7">
        <f>Sheet1[[#This Row],[Sales]]-Sheet1[[#This Row],[Profit]]</f>
        <v>59.399999999999991</v>
      </c>
    </row>
    <row r="237" spans="1:14" x14ac:dyDescent="0.2">
      <c r="A237">
        <v>1951</v>
      </c>
      <c r="B237" s="8">
        <v>44797</v>
      </c>
      <c r="C237" t="s">
        <v>19</v>
      </c>
      <c r="D237" t="s">
        <v>21</v>
      </c>
      <c r="E237" t="s">
        <v>26</v>
      </c>
      <c r="F237" t="s">
        <v>27</v>
      </c>
      <c r="G237">
        <v>9</v>
      </c>
      <c r="H237">
        <v>457</v>
      </c>
      <c r="I237">
        <v>0.1</v>
      </c>
      <c r="J237" s="7">
        <f>Sheet1[[#This Row],[Quantity]]*Sheet1[[#This Row],[Unit Price]]*(1-Sheet1[[#This Row],[Discount]])</f>
        <v>3701.7000000000003</v>
      </c>
      <c r="K237">
        <v>788</v>
      </c>
      <c r="L237" t="s">
        <v>32</v>
      </c>
      <c r="M237" s="7">
        <f>Sheet1[[#This Row],[Quantity]]*Sheet1[[#This Row],[Unit Price]]*(1 - Sheet1[[#This Row],[Discount]])</f>
        <v>3701.7000000000003</v>
      </c>
      <c r="N237" s="7">
        <f>Sheet1[[#This Row],[Sales]]-Sheet1[[#This Row],[Profit]]</f>
        <v>2913.7000000000003</v>
      </c>
    </row>
    <row r="238" spans="1:14" x14ac:dyDescent="0.2">
      <c r="A238">
        <v>1698</v>
      </c>
      <c r="B238" s="8">
        <v>44798</v>
      </c>
      <c r="C238" t="s">
        <v>19</v>
      </c>
      <c r="D238" t="s">
        <v>23</v>
      </c>
      <c r="E238" t="s">
        <v>26</v>
      </c>
      <c r="F238" t="s">
        <v>30</v>
      </c>
      <c r="G238">
        <v>8</v>
      </c>
      <c r="H238">
        <v>226</v>
      </c>
      <c r="I238">
        <v>0.1</v>
      </c>
      <c r="J238" s="7">
        <f>Sheet1[[#This Row],[Quantity]]*Sheet1[[#This Row],[Unit Price]]*(1-Sheet1[[#This Row],[Discount]])</f>
        <v>1627.2</v>
      </c>
      <c r="K238">
        <v>225</v>
      </c>
      <c r="L238" t="s">
        <v>32</v>
      </c>
      <c r="M238" s="7">
        <f>Sheet1[[#This Row],[Quantity]]*Sheet1[[#This Row],[Unit Price]]*(1 - Sheet1[[#This Row],[Discount]])</f>
        <v>1627.2</v>
      </c>
      <c r="N238" s="7">
        <f>Sheet1[[#This Row],[Sales]]-Sheet1[[#This Row],[Profit]]</f>
        <v>1402.2</v>
      </c>
    </row>
    <row r="239" spans="1:14" x14ac:dyDescent="0.2">
      <c r="A239">
        <v>1641</v>
      </c>
      <c r="B239" s="8">
        <v>44799</v>
      </c>
      <c r="C239" t="s">
        <v>19</v>
      </c>
      <c r="D239" t="s">
        <v>22</v>
      </c>
      <c r="E239" t="s">
        <v>25</v>
      </c>
      <c r="F239" t="s">
        <v>27</v>
      </c>
      <c r="G239">
        <v>3</v>
      </c>
      <c r="H239">
        <v>351</v>
      </c>
      <c r="I239">
        <v>0.1</v>
      </c>
      <c r="J239" s="7">
        <f>Sheet1[[#This Row],[Quantity]]*Sheet1[[#This Row],[Unit Price]]*(1-Sheet1[[#This Row],[Discount]])</f>
        <v>947.7</v>
      </c>
      <c r="K239">
        <v>279</v>
      </c>
      <c r="L239" t="s">
        <v>32</v>
      </c>
      <c r="M239" s="7">
        <f>Sheet1[[#This Row],[Quantity]]*Sheet1[[#This Row],[Unit Price]]*(1 - Sheet1[[#This Row],[Discount]])</f>
        <v>947.7</v>
      </c>
      <c r="N239" s="7">
        <f>Sheet1[[#This Row],[Sales]]-Sheet1[[#This Row],[Profit]]</f>
        <v>668.7</v>
      </c>
    </row>
    <row r="240" spans="1:14" x14ac:dyDescent="0.2">
      <c r="A240">
        <v>1219</v>
      </c>
      <c r="B240" s="8">
        <v>44800</v>
      </c>
      <c r="C240" t="s">
        <v>14</v>
      </c>
      <c r="D240" t="s">
        <v>22</v>
      </c>
      <c r="E240" t="s">
        <v>24</v>
      </c>
      <c r="F240" t="s">
        <v>27</v>
      </c>
      <c r="G240">
        <v>6</v>
      </c>
      <c r="H240">
        <v>324</v>
      </c>
      <c r="I240">
        <v>0</v>
      </c>
      <c r="J240" s="7">
        <f>Sheet1[[#This Row],[Quantity]]*Sheet1[[#This Row],[Unit Price]]*(1-Sheet1[[#This Row],[Discount]])</f>
        <v>1944</v>
      </c>
      <c r="K240">
        <v>405</v>
      </c>
      <c r="L240" t="s">
        <v>33</v>
      </c>
      <c r="M240" s="7">
        <f>Sheet1[[#This Row],[Quantity]]*Sheet1[[#This Row],[Unit Price]]*(1 - Sheet1[[#This Row],[Discount]])</f>
        <v>1944</v>
      </c>
      <c r="N240" s="7">
        <f>Sheet1[[#This Row],[Sales]]-Sheet1[[#This Row],[Profit]]</f>
        <v>1539</v>
      </c>
    </row>
    <row r="241" spans="1:14" x14ac:dyDescent="0.2">
      <c r="A241">
        <v>1854</v>
      </c>
      <c r="B241" s="8">
        <v>44801</v>
      </c>
      <c r="C241" t="s">
        <v>17</v>
      </c>
      <c r="D241" t="s">
        <v>21</v>
      </c>
      <c r="E241" t="s">
        <v>24</v>
      </c>
      <c r="F241" t="s">
        <v>29</v>
      </c>
      <c r="G241">
        <v>7</v>
      </c>
      <c r="H241">
        <v>232</v>
      </c>
      <c r="I241">
        <v>0.1</v>
      </c>
      <c r="J241" s="7">
        <f>Sheet1[[#This Row],[Quantity]]*Sheet1[[#This Row],[Unit Price]]*(1-Sheet1[[#This Row],[Discount]])</f>
        <v>1461.6000000000001</v>
      </c>
      <c r="K241">
        <v>356</v>
      </c>
      <c r="L241" t="s">
        <v>32</v>
      </c>
      <c r="M241" s="7">
        <f>Sheet1[[#This Row],[Quantity]]*Sheet1[[#This Row],[Unit Price]]*(1 - Sheet1[[#This Row],[Discount]])</f>
        <v>1461.6000000000001</v>
      </c>
      <c r="N241" s="7">
        <f>Sheet1[[#This Row],[Sales]]-Sheet1[[#This Row],[Profit]]</f>
        <v>1105.6000000000001</v>
      </c>
    </row>
    <row r="242" spans="1:14" x14ac:dyDescent="0.2">
      <c r="A242">
        <v>1996</v>
      </c>
      <c r="B242" s="8">
        <v>44802</v>
      </c>
      <c r="C242" t="s">
        <v>16</v>
      </c>
      <c r="D242" t="s">
        <v>20</v>
      </c>
      <c r="E242" t="s">
        <v>24</v>
      </c>
      <c r="F242" t="s">
        <v>28</v>
      </c>
      <c r="G242">
        <v>9</v>
      </c>
      <c r="H242">
        <v>178</v>
      </c>
      <c r="I242">
        <v>0</v>
      </c>
      <c r="J242" s="7">
        <f>Sheet1[[#This Row],[Quantity]]*Sheet1[[#This Row],[Unit Price]]*(1-Sheet1[[#This Row],[Discount]])</f>
        <v>1602</v>
      </c>
      <c r="K242">
        <v>210</v>
      </c>
      <c r="L242" t="s">
        <v>32</v>
      </c>
      <c r="M242" s="7">
        <f>Sheet1[[#This Row],[Quantity]]*Sheet1[[#This Row],[Unit Price]]*(1 - Sheet1[[#This Row],[Discount]])</f>
        <v>1602</v>
      </c>
      <c r="N242" s="7">
        <f>Sheet1[[#This Row],[Sales]]-Sheet1[[#This Row],[Profit]]</f>
        <v>1392</v>
      </c>
    </row>
    <row r="243" spans="1:14" x14ac:dyDescent="0.2">
      <c r="A243">
        <v>1735</v>
      </c>
      <c r="B243" s="8">
        <v>44803</v>
      </c>
      <c r="C243" t="s">
        <v>13</v>
      </c>
      <c r="D243" t="s">
        <v>22</v>
      </c>
      <c r="E243" t="s">
        <v>24</v>
      </c>
      <c r="F243" t="s">
        <v>30</v>
      </c>
      <c r="G243">
        <v>2</v>
      </c>
      <c r="H243">
        <v>461</v>
      </c>
      <c r="I243">
        <v>0.2</v>
      </c>
      <c r="J243" s="7">
        <f>Sheet1[[#This Row],[Quantity]]*Sheet1[[#This Row],[Unit Price]]*(1-Sheet1[[#This Row],[Discount]])</f>
        <v>737.6</v>
      </c>
      <c r="K243">
        <v>163</v>
      </c>
      <c r="L243" t="s">
        <v>32</v>
      </c>
      <c r="M243" s="7">
        <f>Sheet1[[#This Row],[Quantity]]*Sheet1[[#This Row],[Unit Price]]*(1 - Sheet1[[#This Row],[Discount]])</f>
        <v>737.6</v>
      </c>
      <c r="N243" s="7">
        <f>Sheet1[[#This Row],[Sales]]-Sheet1[[#This Row],[Profit]]</f>
        <v>574.6</v>
      </c>
    </row>
    <row r="244" spans="1:14" x14ac:dyDescent="0.2">
      <c r="A244">
        <v>1402</v>
      </c>
      <c r="B244" s="8">
        <v>44804</v>
      </c>
      <c r="C244" t="s">
        <v>19</v>
      </c>
      <c r="D244" t="s">
        <v>20</v>
      </c>
      <c r="E244" t="s">
        <v>26</v>
      </c>
      <c r="F244" t="s">
        <v>31</v>
      </c>
      <c r="G244">
        <v>4</v>
      </c>
      <c r="H244">
        <v>423</v>
      </c>
      <c r="I244">
        <v>0</v>
      </c>
      <c r="J244" s="7">
        <f>Sheet1[[#This Row],[Quantity]]*Sheet1[[#This Row],[Unit Price]]*(1-Sheet1[[#This Row],[Discount]])</f>
        <v>1692</v>
      </c>
      <c r="K244">
        <v>447</v>
      </c>
      <c r="L244" t="s">
        <v>32</v>
      </c>
      <c r="M244" s="7">
        <f>Sheet1[[#This Row],[Quantity]]*Sheet1[[#This Row],[Unit Price]]*(1 - Sheet1[[#This Row],[Discount]])</f>
        <v>1692</v>
      </c>
      <c r="N244" s="7">
        <f>Sheet1[[#This Row],[Sales]]-Sheet1[[#This Row],[Profit]]</f>
        <v>1245</v>
      </c>
    </row>
    <row r="245" spans="1:14" x14ac:dyDescent="0.2">
      <c r="A245">
        <v>1637</v>
      </c>
      <c r="B245" s="8">
        <v>44805</v>
      </c>
      <c r="C245" t="s">
        <v>14</v>
      </c>
      <c r="D245" t="s">
        <v>22</v>
      </c>
      <c r="E245" t="s">
        <v>25</v>
      </c>
      <c r="F245" t="s">
        <v>27</v>
      </c>
      <c r="G245">
        <v>4</v>
      </c>
      <c r="H245">
        <v>312</v>
      </c>
      <c r="I245">
        <v>0.1</v>
      </c>
      <c r="J245" s="7">
        <f>Sheet1[[#This Row],[Quantity]]*Sheet1[[#This Row],[Unit Price]]*(1-Sheet1[[#This Row],[Discount]])</f>
        <v>1123.2</v>
      </c>
      <c r="K245">
        <v>133</v>
      </c>
      <c r="L245" t="s">
        <v>32</v>
      </c>
      <c r="M245" s="7">
        <f>Sheet1[[#This Row],[Quantity]]*Sheet1[[#This Row],[Unit Price]]*(1 - Sheet1[[#This Row],[Discount]])</f>
        <v>1123.2</v>
      </c>
      <c r="N245" s="7">
        <f>Sheet1[[#This Row],[Sales]]-Sheet1[[#This Row],[Profit]]</f>
        <v>990.2</v>
      </c>
    </row>
    <row r="246" spans="1:14" x14ac:dyDescent="0.2">
      <c r="A246">
        <v>1129</v>
      </c>
      <c r="B246" s="8">
        <v>44806</v>
      </c>
      <c r="C246" t="s">
        <v>15</v>
      </c>
      <c r="D246" t="s">
        <v>22</v>
      </c>
      <c r="E246" t="s">
        <v>25</v>
      </c>
      <c r="F246" t="s">
        <v>30</v>
      </c>
      <c r="G246">
        <v>4</v>
      </c>
      <c r="H246">
        <v>23</v>
      </c>
      <c r="I246">
        <v>0</v>
      </c>
      <c r="J246" s="7">
        <f>Sheet1[[#This Row],[Quantity]]*Sheet1[[#This Row],[Unit Price]]*(1-Sheet1[[#This Row],[Discount]])</f>
        <v>92</v>
      </c>
      <c r="K246">
        <v>24</v>
      </c>
      <c r="L246" t="s">
        <v>32</v>
      </c>
      <c r="M246" s="7">
        <f>Sheet1[[#This Row],[Quantity]]*Sheet1[[#This Row],[Unit Price]]*(1 - Sheet1[[#This Row],[Discount]])</f>
        <v>92</v>
      </c>
      <c r="N246" s="7">
        <f>Sheet1[[#This Row],[Sales]]-Sheet1[[#This Row],[Profit]]</f>
        <v>68</v>
      </c>
    </row>
    <row r="247" spans="1:14" x14ac:dyDescent="0.2">
      <c r="A247">
        <v>1052</v>
      </c>
      <c r="B247" s="8">
        <v>44807</v>
      </c>
      <c r="C247" t="s">
        <v>19</v>
      </c>
      <c r="D247" t="s">
        <v>21</v>
      </c>
      <c r="E247" t="s">
        <v>25</v>
      </c>
      <c r="F247" t="s">
        <v>27</v>
      </c>
      <c r="G247">
        <v>2</v>
      </c>
      <c r="H247">
        <v>239</v>
      </c>
      <c r="I247">
        <v>0.1</v>
      </c>
      <c r="J247" s="7">
        <f>Sheet1[[#This Row],[Quantity]]*Sheet1[[#This Row],[Unit Price]]*(1-Sheet1[[#This Row],[Discount]])</f>
        <v>430.2</v>
      </c>
      <c r="K247">
        <v>57</v>
      </c>
      <c r="L247" t="s">
        <v>32</v>
      </c>
      <c r="M247" s="7">
        <f>Sheet1[[#This Row],[Quantity]]*Sheet1[[#This Row],[Unit Price]]*(1 - Sheet1[[#This Row],[Discount]])</f>
        <v>430.2</v>
      </c>
      <c r="N247" s="7">
        <f>Sheet1[[#This Row],[Sales]]-Sheet1[[#This Row],[Profit]]</f>
        <v>373.2</v>
      </c>
    </row>
    <row r="248" spans="1:14" x14ac:dyDescent="0.2">
      <c r="A248">
        <v>1729</v>
      </c>
      <c r="B248" s="8">
        <v>44808</v>
      </c>
      <c r="C248" t="s">
        <v>13</v>
      </c>
      <c r="D248" t="s">
        <v>20</v>
      </c>
      <c r="E248" t="s">
        <v>26</v>
      </c>
      <c r="F248" t="s">
        <v>30</v>
      </c>
      <c r="G248">
        <v>1</v>
      </c>
      <c r="H248">
        <v>401</v>
      </c>
      <c r="I248">
        <v>0.3</v>
      </c>
      <c r="J248" s="7">
        <f>Sheet1[[#This Row],[Quantity]]*Sheet1[[#This Row],[Unit Price]]*(1-Sheet1[[#This Row],[Discount]])</f>
        <v>280.7</v>
      </c>
      <c r="K248">
        <v>63</v>
      </c>
      <c r="L248" t="s">
        <v>32</v>
      </c>
      <c r="M248" s="7">
        <f>Sheet1[[#This Row],[Quantity]]*Sheet1[[#This Row],[Unit Price]]*(1 - Sheet1[[#This Row],[Discount]])</f>
        <v>280.7</v>
      </c>
      <c r="N248" s="7">
        <f>Sheet1[[#This Row],[Sales]]-Sheet1[[#This Row],[Profit]]</f>
        <v>217.7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6"/>
  <sheetViews>
    <sheetView zoomScale="118" workbookViewId="0">
      <selection activeCell="D11" sqref="D11"/>
    </sheetView>
  </sheetViews>
  <sheetFormatPr baseColWidth="10" defaultColWidth="8.83203125" defaultRowHeight="15" x14ac:dyDescent="0.2"/>
  <cols>
    <col min="2" max="2" width="21.6640625" customWidth="1"/>
    <col min="5" max="5" width="13.1640625" customWidth="1"/>
    <col min="6" max="6" width="14"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v>1771</v>
      </c>
      <c r="B2" s="2">
        <v>44656</v>
      </c>
      <c r="C2" t="s">
        <v>13</v>
      </c>
      <c r="D2" t="s">
        <v>20</v>
      </c>
      <c r="E2" t="s">
        <v>24</v>
      </c>
      <c r="F2" t="s">
        <v>27</v>
      </c>
      <c r="G2">
        <v>9</v>
      </c>
      <c r="H2">
        <v>112</v>
      </c>
      <c r="I2">
        <v>0.2</v>
      </c>
      <c r="J2">
        <v>806.40000000000009</v>
      </c>
      <c r="K2">
        <v>100.54307563549671</v>
      </c>
      <c r="L2" t="s">
        <v>32</v>
      </c>
      <c r="M2" t="s">
        <v>34</v>
      </c>
    </row>
    <row r="3" spans="1:13" x14ac:dyDescent="0.2">
      <c r="A3">
        <v>1871</v>
      </c>
      <c r="B3" s="2">
        <v>44730</v>
      </c>
      <c r="C3" t="s">
        <v>14</v>
      </c>
      <c r="D3" t="s">
        <v>21</v>
      </c>
      <c r="E3" t="s">
        <v>25</v>
      </c>
      <c r="F3" t="s">
        <v>28</v>
      </c>
      <c r="G3">
        <v>8</v>
      </c>
      <c r="H3">
        <v>111</v>
      </c>
      <c r="I3">
        <v>0.2</v>
      </c>
      <c r="J3">
        <v>710.40000000000009</v>
      </c>
      <c r="K3">
        <v>132.05238740005399</v>
      </c>
      <c r="L3" t="s">
        <v>32</v>
      </c>
      <c r="M3" t="s">
        <v>35</v>
      </c>
    </row>
    <row r="4" spans="1:13" x14ac:dyDescent="0.2">
      <c r="A4">
        <v>1091</v>
      </c>
      <c r="B4" s="2">
        <v>44637</v>
      </c>
      <c r="C4" t="s">
        <v>15</v>
      </c>
      <c r="D4" t="s">
        <v>22</v>
      </c>
      <c r="E4" t="s">
        <v>26</v>
      </c>
      <c r="F4" t="s">
        <v>28</v>
      </c>
      <c r="G4">
        <v>9</v>
      </c>
      <c r="H4">
        <v>399</v>
      </c>
      <c r="I4">
        <v>0</v>
      </c>
      <c r="J4">
        <v>3591</v>
      </c>
      <c r="K4">
        <v>1017.252493213679</v>
      </c>
      <c r="L4" t="s">
        <v>32</v>
      </c>
      <c r="M4" t="s">
        <v>34</v>
      </c>
    </row>
    <row r="5" spans="1:13" x14ac:dyDescent="0.2">
      <c r="A5">
        <v>1627</v>
      </c>
      <c r="B5" s="2">
        <v>44805</v>
      </c>
      <c r="C5" t="s">
        <v>14</v>
      </c>
      <c r="D5" t="s">
        <v>21</v>
      </c>
      <c r="E5" t="s">
        <v>24</v>
      </c>
      <c r="F5" t="s">
        <v>27</v>
      </c>
      <c r="G5">
        <v>2</v>
      </c>
      <c r="H5">
        <v>106</v>
      </c>
      <c r="I5">
        <v>0</v>
      </c>
      <c r="J5">
        <v>212</v>
      </c>
      <c r="K5">
        <v>32.741331901580288</v>
      </c>
      <c r="L5" t="s">
        <v>32</v>
      </c>
      <c r="M5" t="s">
        <v>35</v>
      </c>
    </row>
    <row r="6" spans="1:13" x14ac:dyDescent="0.2">
      <c r="A6">
        <v>1458</v>
      </c>
      <c r="B6" s="2">
        <v>44575</v>
      </c>
      <c r="C6" t="s">
        <v>14</v>
      </c>
      <c r="D6" t="s">
        <v>22</v>
      </c>
      <c r="E6" t="s">
        <v>25</v>
      </c>
      <c r="F6" t="s">
        <v>27</v>
      </c>
      <c r="G6">
        <v>4</v>
      </c>
      <c r="H6">
        <v>223</v>
      </c>
      <c r="I6">
        <v>0.1</v>
      </c>
      <c r="J6">
        <v>802.80000000000007</v>
      </c>
      <c r="K6">
        <v>81.089951870020002</v>
      </c>
      <c r="L6" t="s">
        <v>32</v>
      </c>
      <c r="M6" t="s">
        <v>34</v>
      </c>
    </row>
    <row r="7" spans="1:13" x14ac:dyDescent="0.2">
      <c r="A7">
        <v>1224</v>
      </c>
      <c r="B7" s="2">
        <v>44816</v>
      </c>
      <c r="C7" t="s">
        <v>15</v>
      </c>
      <c r="D7" t="s">
        <v>22</v>
      </c>
      <c r="E7" t="s">
        <v>26</v>
      </c>
      <c r="F7" t="s">
        <v>29</v>
      </c>
      <c r="G7">
        <v>2</v>
      </c>
      <c r="H7">
        <v>192</v>
      </c>
      <c r="I7">
        <v>0.3</v>
      </c>
      <c r="J7">
        <v>268.8</v>
      </c>
      <c r="K7">
        <v>61.78056342320744</v>
      </c>
      <c r="L7" t="s">
        <v>32</v>
      </c>
      <c r="M7" t="s">
        <v>34</v>
      </c>
    </row>
    <row r="8" spans="1:13" x14ac:dyDescent="0.2">
      <c r="A8">
        <v>1427</v>
      </c>
      <c r="B8" s="2">
        <v>44641</v>
      </c>
      <c r="C8" t="s">
        <v>14</v>
      </c>
      <c r="D8" t="s">
        <v>21</v>
      </c>
      <c r="E8" t="s">
        <v>26</v>
      </c>
      <c r="F8" t="s">
        <v>30</v>
      </c>
      <c r="G8">
        <v>9</v>
      </c>
      <c r="H8">
        <v>464</v>
      </c>
      <c r="I8">
        <v>0.3</v>
      </c>
      <c r="J8">
        <v>2923.2</v>
      </c>
      <c r="K8">
        <v>720.31420249303346</v>
      </c>
      <c r="L8" t="s">
        <v>32</v>
      </c>
      <c r="M8" t="s">
        <v>36</v>
      </c>
    </row>
    <row r="9" spans="1:13" x14ac:dyDescent="0.2">
      <c r="A9">
        <v>1510</v>
      </c>
      <c r="B9" s="2">
        <v>44603</v>
      </c>
      <c r="C9" t="s">
        <v>13</v>
      </c>
      <c r="D9" t="s">
        <v>22</v>
      </c>
      <c r="E9" t="s">
        <v>24</v>
      </c>
      <c r="F9" t="s">
        <v>28</v>
      </c>
      <c r="G9">
        <v>2</v>
      </c>
      <c r="H9">
        <v>290</v>
      </c>
      <c r="I9">
        <v>0</v>
      </c>
      <c r="J9">
        <v>580</v>
      </c>
      <c r="K9">
        <v>29.46664822262041</v>
      </c>
      <c r="L9" t="s">
        <v>33</v>
      </c>
      <c r="M9" t="s">
        <v>34</v>
      </c>
    </row>
    <row r="10" spans="1:13" x14ac:dyDescent="0.2">
      <c r="A10">
        <v>1815</v>
      </c>
      <c r="B10" s="2">
        <v>44669</v>
      </c>
      <c r="C10" t="s">
        <v>16</v>
      </c>
      <c r="D10" t="s">
        <v>21</v>
      </c>
      <c r="E10" t="s">
        <v>25</v>
      </c>
      <c r="F10" t="s">
        <v>27</v>
      </c>
      <c r="G10">
        <v>9</v>
      </c>
      <c r="H10">
        <v>43</v>
      </c>
      <c r="I10">
        <v>0</v>
      </c>
      <c r="J10">
        <v>387</v>
      </c>
      <c r="K10">
        <v>67.382616490375241</v>
      </c>
      <c r="L10" t="s">
        <v>32</v>
      </c>
      <c r="M10" t="s">
        <v>34</v>
      </c>
    </row>
    <row r="11" spans="1:13" x14ac:dyDescent="0.2">
      <c r="A11">
        <v>1776</v>
      </c>
      <c r="B11" s="2">
        <v>44632</v>
      </c>
      <c r="C11" t="s">
        <v>13</v>
      </c>
      <c r="D11" t="s">
        <v>23</v>
      </c>
      <c r="E11" t="s">
        <v>25</v>
      </c>
      <c r="F11" t="s">
        <v>29</v>
      </c>
      <c r="G11">
        <v>2</v>
      </c>
      <c r="H11">
        <v>460</v>
      </c>
      <c r="I11">
        <v>0.2</v>
      </c>
      <c r="J11">
        <v>736</v>
      </c>
      <c r="K11">
        <v>53.102479061049571</v>
      </c>
      <c r="L11" t="s">
        <v>33</v>
      </c>
      <c r="M11" t="s">
        <v>35</v>
      </c>
    </row>
    <row r="12" spans="1:13" x14ac:dyDescent="0.2">
      <c r="A12">
        <v>1313</v>
      </c>
      <c r="B12" s="2">
        <v>44595</v>
      </c>
      <c r="C12" t="s">
        <v>17</v>
      </c>
      <c r="D12" t="s">
        <v>21</v>
      </c>
      <c r="E12" t="s">
        <v>24</v>
      </c>
      <c r="F12" t="s">
        <v>30</v>
      </c>
      <c r="G12">
        <v>6</v>
      </c>
      <c r="H12">
        <v>449</v>
      </c>
      <c r="I12">
        <v>0</v>
      </c>
      <c r="J12">
        <v>2694</v>
      </c>
      <c r="K12">
        <v>382.75646879636241</v>
      </c>
      <c r="L12" t="s">
        <v>32</v>
      </c>
      <c r="M12" t="s">
        <v>34</v>
      </c>
    </row>
    <row r="13" spans="1:13" x14ac:dyDescent="0.2">
      <c r="A13">
        <v>1474</v>
      </c>
      <c r="B13" s="2">
        <v>44601</v>
      </c>
      <c r="C13" t="s">
        <v>15</v>
      </c>
      <c r="D13" t="s">
        <v>23</v>
      </c>
      <c r="E13" t="s">
        <v>25</v>
      </c>
      <c r="F13" t="s">
        <v>30</v>
      </c>
      <c r="G13">
        <v>1</v>
      </c>
      <c r="H13">
        <v>416</v>
      </c>
      <c r="I13">
        <v>0</v>
      </c>
      <c r="J13">
        <v>416</v>
      </c>
      <c r="K13">
        <v>63.712671448256863</v>
      </c>
      <c r="L13" t="s">
        <v>32</v>
      </c>
      <c r="M13" t="s">
        <v>36</v>
      </c>
    </row>
    <row r="14" spans="1:13" x14ac:dyDescent="0.2">
      <c r="A14">
        <v>1130</v>
      </c>
      <c r="B14" s="2">
        <v>44619</v>
      </c>
      <c r="C14" t="s">
        <v>18</v>
      </c>
      <c r="D14" t="s">
        <v>22</v>
      </c>
      <c r="E14" t="s">
        <v>24</v>
      </c>
      <c r="F14" t="s">
        <v>27</v>
      </c>
      <c r="G14">
        <v>7</v>
      </c>
      <c r="H14">
        <v>401</v>
      </c>
      <c r="I14">
        <v>0.1</v>
      </c>
      <c r="J14">
        <v>2526.3000000000002</v>
      </c>
      <c r="K14">
        <v>647.39558123447273</v>
      </c>
      <c r="L14" t="s">
        <v>32</v>
      </c>
      <c r="M14" t="s">
        <v>34</v>
      </c>
    </row>
    <row r="15" spans="1:13" x14ac:dyDescent="0.2">
      <c r="A15">
        <v>1929</v>
      </c>
      <c r="B15" s="2">
        <v>44720</v>
      </c>
      <c r="C15" t="s">
        <v>17</v>
      </c>
      <c r="D15" t="s">
        <v>20</v>
      </c>
      <c r="E15" t="s">
        <v>25</v>
      </c>
      <c r="F15" t="s">
        <v>31</v>
      </c>
      <c r="G15">
        <v>9</v>
      </c>
      <c r="H15">
        <v>60</v>
      </c>
      <c r="I15">
        <v>0.2</v>
      </c>
      <c r="J15">
        <v>432</v>
      </c>
      <c r="K15">
        <v>45.934228434733392</v>
      </c>
      <c r="L15" t="s">
        <v>32</v>
      </c>
      <c r="M15" t="s">
        <v>36</v>
      </c>
    </row>
    <row r="16" spans="1:13" x14ac:dyDescent="0.2">
      <c r="A16">
        <v>1021</v>
      </c>
      <c r="B16" s="2">
        <v>44596</v>
      </c>
      <c r="C16" t="s">
        <v>13</v>
      </c>
      <c r="D16" t="s">
        <v>23</v>
      </c>
      <c r="E16" t="s">
        <v>24</v>
      </c>
      <c r="F16" t="s">
        <v>29</v>
      </c>
      <c r="G16">
        <v>8</v>
      </c>
      <c r="H16">
        <v>245</v>
      </c>
      <c r="I16">
        <v>0.3</v>
      </c>
      <c r="J16">
        <v>1372</v>
      </c>
      <c r="K16">
        <v>222.4734464174081</v>
      </c>
      <c r="L16" t="s">
        <v>32</v>
      </c>
      <c r="M16" t="s">
        <v>34</v>
      </c>
    </row>
    <row r="17" spans="1:13" x14ac:dyDescent="0.2">
      <c r="A17">
        <v>1206</v>
      </c>
      <c r="B17" s="2">
        <v>44749</v>
      </c>
      <c r="C17" t="s">
        <v>17</v>
      </c>
      <c r="D17" t="s">
        <v>22</v>
      </c>
      <c r="E17" t="s">
        <v>24</v>
      </c>
      <c r="F17" t="s">
        <v>31</v>
      </c>
      <c r="G17">
        <v>2</v>
      </c>
      <c r="H17">
        <v>122</v>
      </c>
      <c r="I17">
        <v>0.1</v>
      </c>
      <c r="J17">
        <v>219.6</v>
      </c>
      <c r="K17">
        <v>25.17828383535333</v>
      </c>
      <c r="L17" t="s">
        <v>32</v>
      </c>
      <c r="M17" t="s">
        <v>36</v>
      </c>
    </row>
    <row r="18" spans="1:13" x14ac:dyDescent="0.2">
      <c r="A18">
        <v>1410</v>
      </c>
      <c r="B18" s="2">
        <v>44812</v>
      </c>
      <c r="C18" t="s">
        <v>13</v>
      </c>
      <c r="D18" t="s">
        <v>23</v>
      </c>
      <c r="E18" t="s">
        <v>24</v>
      </c>
      <c r="F18" t="s">
        <v>31</v>
      </c>
      <c r="G18">
        <v>3</v>
      </c>
      <c r="H18">
        <v>166</v>
      </c>
      <c r="J18">
        <v>498</v>
      </c>
      <c r="K18">
        <v>45.098059019918679</v>
      </c>
      <c r="L18" t="s">
        <v>32</v>
      </c>
      <c r="M18" t="s">
        <v>34</v>
      </c>
    </row>
    <row r="19" spans="1:13" x14ac:dyDescent="0.2">
      <c r="A19">
        <v>1565</v>
      </c>
      <c r="B19" s="2">
        <v>44654</v>
      </c>
      <c r="C19" t="s">
        <v>19</v>
      </c>
      <c r="D19" t="s">
        <v>20</v>
      </c>
      <c r="E19" t="s">
        <v>25</v>
      </c>
      <c r="F19" t="s">
        <v>31</v>
      </c>
      <c r="G19">
        <v>1</v>
      </c>
      <c r="H19">
        <v>492</v>
      </c>
      <c r="J19">
        <v>492</v>
      </c>
      <c r="K19">
        <v>58.187709626655931</v>
      </c>
      <c r="L19" t="s">
        <v>32</v>
      </c>
      <c r="M19" t="s">
        <v>36</v>
      </c>
    </row>
    <row r="20" spans="1:13" x14ac:dyDescent="0.2">
      <c r="A20">
        <v>1942</v>
      </c>
      <c r="B20" s="2">
        <v>44737</v>
      </c>
      <c r="C20" t="s">
        <v>16</v>
      </c>
      <c r="D20" t="s">
        <v>21</v>
      </c>
      <c r="E20" t="s">
        <v>25</v>
      </c>
      <c r="F20" t="s">
        <v>27</v>
      </c>
      <c r="G20">
        <v>5</v>
      </c>
      <c r="H20">
        <v>372</v>
      </c>
      <c r="I20">
        <v>0.3</v>
      </c>
      <c r="J20">
        <v>1302</v>
      </c>
      <c r="K20">
        <v>282.86677080062481</v>
      </c>
      <c r="L20" t="s">
        <v>32</v>
      </c>
      <c r="M20" t="s">
        <v>35</v>
      </c>
    </row>
    <row r="21" spans="1:13" x14ac:dyDescent="0.2">
      <c r="A21">
        <v>1121</v>
      </c>
      <c r="B21" s="2">
        <v>44571</v>
      </c>
      <c r="C21" t="s">
        <v>19</v>
      </c>
      <c r="D21" t="s">
        <v>20</v>
      </c>
      <c r="E21" t="s">
        <v>24</v>
      </c>
      <c r="F21" t="s">
        <v>31</v>
      </c>
      <c r="G21">
        <v>7</v>
      </c>
      <c r="H21">
        <v>289</v>
      </c>
      <c r="I21">
        <v>0.3</v>
      </c>
      <c r="J21">
        <v>1416.1</v>
      </c>
      <c r="K21">
        <v>421.93051802645829</v>
      </c>
      <c r="L21" t="s">
        <v>32</v>
      </c>
      <c r="M21" t="s">
        <v>36</v>
      </c>
    </row>
    <row r="22" spans="1:13" x14ac:dyDescent="0.2">
      <c r="A22">
        <v>1763</v>
      </c>
      <c r="B22" s="2">
        <v>44686</v>
      </c>
      <c r="C22" t="s">
        <v>13</v>
      </c>
      <c r="D22" t="s">
        <v>23</v>
      </c>
      <c r="E22" t="s">
        <v>24</v>
      </c>
      <c r="F22" t="s">
        <v>30</v>
      </c>
      <c r="G22">
        <v>2</v>
      </c>
      <c r="H22">
        <v>185</v>
      </c>
      <c r="J22">
        <v>370</v>
      </c>
      <c r="K22">
        <v>43.655349666898367</v>
      </c>
      <c r="L22" t="s">
        <v>32</v>
      </c>
      <c r="M22" t="s">
        <v>34</v>
      </c>
    </row>
    <row r="23" spans="1:13" x14ac:dyDescent="0.2">
      <c r="A23">
        <v>1614</v>
      </c>
      <c r="B23" s="2">
        <v>44570</v>
      </c>
      <c r="C23" t="s">
        <v>14</v>
      </c>
      <c r="D23" t="s">
        <v>23</v>
      </c>
      <c r="E23" t="s">
        <v>24</v>
      </c>
      <c r="F23" t="s">
        <v>30</v>
      </c>
      <c r="G23">
        <v>9</v>
      </c>
      <c r="H23">
        <v>325</v>
      </c>
      <c r="I23">
        <v>0.1</v>
      </c>
      <c r="J23">
        <v>2632.5</v>
      </c>
      <c r="K23">
        <v>609.72761625874625</v>
      </c>
      <c r="L23" t="s">
        <v>32</v>
      </c>
      <c r="M23" t="s">
        <v>36</v>
      </c>
    </row>
    <row r="24" spans="1:13" x14ac:dyDescent="0.2">
      <c r="A24">
        <v>1921</v>
      </c>
      <c r="B24" s="2">
        <v>44684</v>
      </c>
      <c r="C24" t="s">
        <v>14</v>
      </c>
      <c r="D24" t="s">
        <v>23</v>
      </c>
      <c r="E24" t="s">
        <v>24</v>
      </c>
      <c r="F24" t="s">
        <v>27</v>
      </c>
      <c r="G24">
        <v>2</v>
      </c>
      <c r="H24">
        <v>247</v>
      </c>
      <c r="I24">
        <v>0</v>
      </c>
      <c r="J24">
        <v>494</v>
      </c>
      <c r="K24">
        <v>136.622440694348</v>
      </c>
      <c r="L24" t="s">
        <v>32</v>
      </c>
      <c r="M24" t="s">
        <v>34</v>
      </c>
    </row>
    <row r="25" spans="1:13" x14ac:dyDescent="0.2">
      <c r="A25">
        <v>1563</v>
      </c>
      <c r="B25" s="2">
        <v>44833</v>
      </c>
      <c r="C25" t="s">
        <v>18</v>
      </c>
      <c r="D25" t="s">
        <v>23</v>
      </c>
      <c r="E25" t="s">
        <v>24</v>
      </c>
      <c r="F25" t="s">
        <v>29</v>
      </c>
      <c r="G25">
        <v>7</v>
      </c>
      <c r="H25">
        <v>380</v>
      </c>
      <c r="I25">
        <v>0</v>
      </c>
      <c r="J25">
        <v>2660</v>
      </c>
      <c r="K25">
        <v>248.55145943526961</v>
      </c>
      <c r="L25" t="s">
        <v>32</v>
      </c>
      <c r="M25" t="s">
        <v>35</v>
      </c>
    </row>
    <row r="26" spans="1:13" x14ac:dyDescent="0.2">
      <c r="A26">
        <v>1733</v>
      </c>
      <c r="B26" s="2">
        <v>44763</v>
      </c>
      <c r="C26" t="s">
        <v>14</v>
      </c>
      <c r="D26" t="s">
        <v>21</v>
      </c>
      <c r="E26" t="s">
        <v>25</v>
      </c>
      <c r="F26" t="s">
        <v>29</v>
      </c>
      <c r="G26">
        <v>3</v>
      </c>
      <c r="H26">
        <v>336</v>
      </c>
      <c r="I26">
        <v>0</v>
      </c>
      <c r="J26">
        <v>1008</v>
      </c>
      <c r="K26">
        <v>66.831556997644</v>
      </c>
      <c r="L26" t="s">
        <v>32</v>
      </c>
      <c r="M26" t="s">
        <v>35</v>
      </c>
    </row>
    <row r="27" spans="1:13" x14ac:dyDescent="0.2">
      <c r="A27">
        <v>1701</v>
      </c>
      <c r="B27" s="2">
        <v>44675</v>
      </c>
      <c r="C27" t="s">
        <v>14</v>
      </c>
      <c r="D27" t="s">
        <v>23</v>
      </c>
      <c r="E27" t="s">
        <v>25</v>
      </c>
      <c r="F27" t="s">
        <v>28</v>
      </c>
      <c r="G27">
        <v>7</v>
      </c>
      <c r="H27">
        <v>34</v>
      </c>
      <c r="I27">
        <v>0.3</v>
      </c>
      <c r="J27">
        <v>166.6</v>
      </c>
      <c r="K27">
        <v>13.9674975268656</v>
      </c>
      <c r="L27" t="s">
        <v>32</v>
      </c>
      <c r="M27" t="s">
        <v>35</v>
      </c>
    </row>
    <row r="28" spans="1:13" x14ac:dyDescent="0.2">
      <c r="A28">
        <v>1891</v>
      </c>
      <c r="B28" s="2">
        <v>44753</v>
      </c>
      <c r="C28" t="s">
        <v>15</v>
      </c>
      <c r="D28" t="s">
        <v>23</v>
      </c>
      <c r="E28" t="s">
        <v>24</v>
      </c>
      <c r="F28" t="s">
        <v>31</v>
      </c>
      <c r="G28">
        <v>4</v>
      </c>
      <c r="H28">
        <v>109</v>
      </c>
      <c r="I28">
        <v>0.1</v>
      </c>
      <c r="J28">
        <v>392.4</v>
      </c>
      <c r="K28">
        <v>70.571752817336261</v>
      </c>
      <c r="L28" t="s">
        <v>32</v>
      </c>
      <c r="M28" t="s">
        <v>35</v>
      </c>
    </row>
    <row r="29" spans="1:13" x14ac:dyDescent="0.2">
      <c r="A29">
        <v>1130</v>
      </c>
      <c r="B29" s="2">
        <v>44581</v>
      </c>
      <c r="C29" t="s">
        <v>16</v>
      </c>
      <c r="D29" t="s">
        <v>22</v>
      </c>
      <c r="E29" t="s">
        <v>26</v>
      </c>
      <c r="F29" t="s">
        <v>28</v>
      </c>
      <c r="G29">
        <v>5</v>
      </c>
      <c r="H29">
        <v>479</v>
      </c>
      <c r="I29">
        <v>0.2</v>
      </c>
      <c r="J29">
        <v>1916</v>
      </c>
      <c r="K29">
        <v>471.23626476850518</v>
      </c>
      <c r="L29" t="s">
        <v>32</v>
      </c>
      <c r="M29" t="s">
        <v>34</v>
      </c>
    </row>
    <row r="30" spans="1:13" x14ac:dyDescent="0.2">
      <c r="A30">
        <v>1455</v>
      </c>
      <c r="B30" s="2">
        <v>44811</v>
      </c>
      <c r="C30" t="s">
        <v>18</v>
      </c>
      <c r="D30" t="s">
        <v>23</v>
      </c>
      <c r="E30" t="s">
        <v>24</v>
      </c>
      <c r="F30" t="s">
        <v>28</v>
      </c>
      <c r="G30">
        <v>8</v>
      </c>
      <c r="H30">
        <v>141</v>
      </c>
      <c r="I30">
        <v>0.1</v>
      </c>
      <c r="J30">
        <v>1015.2</v>
      </c>
      <c r="K30">
        <v>159.25688279425211</v>
      </c>
      <c r="L30" t="s">
        <v>32</v>
      </c>
      <c r="M30" t="s">
        <v>34</v>
      </c>
    </row>
    <row r="31" spans="1:13" x14ac:dyDescent="0.2">
      <c r="A31">
        <v>1563</v>
      </c>
      <c r="B31" s="2">
        <v>44760</v>
      </c>
      <c r="C31" t="s">
        <v>19</v>
      </c>
      <c r="D31" t="s">
        <v>20</v>
      </c>
      <c r="E31" t="s">
        <v>25</v>
      </c>
      <c r="F31" t="s">
        <v>29</v>
      </c>
      <c r="G31">
        <v>9</v>
      </c>
      <c r="H31">
        <v>324</v>
      </c>
      <c r="J31">
        <v>2916</v>
      </c>
      <c r="K31">
        <v>863.85745932669795</v>
      </c>
      <c r="L31" t="s">
        <v>32</v>
      </c>
      <c r="M31" t="s">
        <v>34</v>
      </c>
    </row>
    <row r="32" spans="1:13" x14ac:dyDescent="0.2">
      <c r="A32">
        <v>1683</v>
      </c>
      <c r="B32" s="2">
        <v>44729</v>
      </c>
      <c r="C32" t="s">
        <v>16</v>
      </c>
      <c r="D32" t="s">
        <v>22</v>
      </c>
      <c r="E32" t="s">
        <v>25</v>
      </c>
      <c r="F32" t="s">
        <v>28</v>
      </c>
      <c r="G32">
        <v>3</v>
      </c>
      <c r="H32">
        <v>105</v>
      </c>
      <c r="I32">
        <v>0</v>
      </c>
      <c r="J32">
        <v>315</v>
      </c>
      <c r="K32">
        <v>71.492013906844278</v>
      </c>
      <c r="L32" t="s">
        <v>32</v>
      </c>
      <c r="M32" t="s">
        <v>36</v>
      </c>
    </row>
    <row r="33" spans="1:13" x14ac:dyDescent="0.2">
      <c r="A33">
        <v>1681</v>
      </c>
      <c r="B33" s="2">
        <v>44780</v>
      </c>
      <c r="C33" t="s">
        <v>19</v>
      </c>
      <c r="D33" t="s">
        <v>20</v>
      </c>
      <c r="E33" t="s">
        <v>25</v>
      </c>
      <c r="F33" t="s">
        <v>31</v>
      </c>
      <c r="G33">
        <v>3</v>
      </c>
      <c r="H33">
        <v>337</v>
      </c>
      <c r="I33">
        <v>0</v>
      </c>
      <c r="J33">
        <v>1011</v>
      </c>
      <c r="K33">
        <v>252.22280384291719</v>
      </c>
      <c r="L33" t="s">
        <v>33</v>
      </c>
      <c r="M33" t="s">
        <v>35</v>
      </c>
    </row>
    <row r="34" spans="1:13" x14ac:dyDescent="0.2">
      <c r="A34">
        <v>1102</v>
      </c>
      <c r="B34" s="2">
        <v>44562</v>
      </c>
      <c r="C34" t="s">
        <v>14</v>
      </c>
      <c r="D34" t="s">
        <v>22</v>
      </c>
      <c r="E34" t="s">
        <v>25</v>
      </c>
      <c r="F34" t="s">
        <v>30</v>
      </c>
      <c r="G34">
        <v>7</v>
      </c>
      <c r="H34">
        <v>420</v>
      </c>
      <c r="I34">
        <v>0.3</v>
      </c>
      <c r="J34">
        <v>2058</v>
      </c>
      <c r="K34">
        <v>457.33148790477162</v>
      </c>
      <c r="L34" t="s">
        <v>32</v>
      </c>
      <c r="M34" t="s">
        <v>35</v>
      </c>
    </row>
    <row r="35" spans="1:13" x14ac:dyDescent="0.2">
      <c r="A35">
        <v>1386</v>
      </c>
      <c r="B35" s="2">
        <v>44838</v>
      </c>
      <c r="C35" t="s">
        <v>14</v>
      </c>
      <c r="D35" t="s">
        <v>22</v>
      </c>
      <c r="E35" t="s">
        <v>24</v>
      </c>
      <c r="F35" t="s">
        <v>30</v>
      </c>
      <c r="G35">
        <v>2</v>
      </c>
      <c r="H35">
        <v>262</v>
      </c>
      <c r="I35">
        <v>0.1</v>
      </c>
      <c r="J35">
        <v>471.6</v>
      </c>
      <c r="K35">
        <v>40.318497592821181</v>
      </c>
      <c r="L35" t="s">
        <v>32</v>
      </c>
      <c r="M35" t="s">
        <v>35</v>
      </c>
    </row>
    <row r="36" spans="1:13" x14ac:dyDescent="0.2">
      <c r="A36">
        <v>1112</v>
      </c>
      <c r="B36" s="2">
        <v>44829</v>
      </c>
      <c r="C36" t="s">
        <v>15</v>
      </c>
      <c r="D36" t="s">
        <v>20</v>
      </c>
      <c r="E36" t="s">
        <v>24</v>
      </c>
      <c r="F36" t="s">
        <v>30</v>
      </c>
      <c r="G36">
        <v>7</v>
      </c>
      <c r="H36">
        <v>169</v>
      </c>
      <c r="I36">
        <v>0.1</v>
      </c>
      <c r="J36">
        <v>1064.7</v>
      </c>
      <c r="K36">
        <v>148.47195327299951</v>
      </c>
      <c r="L36" t="s">
        <v>32</v>
      </c>
      <c r="M36" t="s">
        <v>34</v>
      </c>
    </row>
    <row r="37" spans="1:13" x14ac:dyDescent="0.2">
      <c r="A37">
        <v>1955</v>
      </c>
      <c r="B37" s="2">
        <v>44591</v>
      </c>
      <c r="C37" t="s">
        <v>16</v>
      </c>
      <c r="D37" t="s">
        <v>20</v>
      </c>
      <c r="E37" t="s">
        <v>26</v>
      </c>
      <c r="F37" t="s">
        <v>31</v>
      </c>
      <c r="G37">
        <v>5</v>
      </c>
      <c r="H37">
        <v>478</v>
      </c>
      <c r="I37">
        <v>0.1</v>
      </c>
      <c r="J37">
        <v>2151</v>
      </c>
      <c r="K37">
        <v>187.6145490662721</v>
      </c>
      <c r="L37" t="s">
        <v>32</v>
      </c>
      <c r="M37" t="s">
        <v>36</v>
      </c>
    </row>
    <row r="38" spans="1:13" x14ac:dyDescent="0.2">
      <c r="A38">
        <v>1560</v>
      </c>
      <c r="B38" s="2">
        <v>44600</v>
      </c>
      <c r="C38" t="s">
        <v>18</v>
      </c>
      <c r="D38" t="s">
        <v>23</v>
      </c>
      <c r="E38" t="s">
        <v>26</v>
      </c>
      <c r="F38" t="s">
        <v>29</v>
      </c>
      <c r="G38">
        <v>7</v>
      </c>
      <c r="H38">
        <v>118</v>
      </c>
      <c r="I38">
        <v>0.1</v>
      </c>
      <c r="J38">
        <v>743.4</v>
      </c>
      <c r="K38">
        <v>109.9350510063496</v>
      </c>
      <c r="L38" t="s">
        <v>32</v>
      </c>
      <c r="M38" t="s">
        <v>34</v>
      </c>
    </row>
    <row r="39" spans="1:13" x14ac:dyDescent="0.2">
      <c r="A39">
        <v>1230</v>
      </c>
      <c r="B39" s="2">
        <v>44766</v>
      </c>
      <c r="C39" t="s">
        <v>16</v>
      </c>
      <c r="D39" t="s">
        <v>21</v>
      </c>
      <c r="E39" t="s">
        <v>25</v>
      </c>
      <c r="F39" t="s">
        <v>27</v>
      </c>
      <c r="G39">
        <v>5</v>
      </c>
      <c r="H39">
        <v>409</v>
      </c>
      <c r="I39">
        <v>0.1</v>
      </c>
      <c r="J39">
        <v>1840.5</v>
      </c>
      <c r="K39">
        <v>339.89516478299259</v>
      </c>
      <c r="L39" t="s">
        <v>32</v>
      </c>
      <c r="M39" t="s">
        <v>35</v>
      </c>
    </row>
    <row r="40" spans="1:13" x14ac:dyDescent="0.2">
      <c r="A40">
        <v>1201</v>
      </c>
      <c r="B40" s="2">
        <v>44664</v>
      </c>
      <c r="C40" t="s">
        <v>16</v>
      </c>
      <c r="D40" t="s">
        <v>21</v>
      </c>
      <c r="E40" t="s">
        <v>26</v>
      </c>
      <c r="F40" t="s">
        <v>28</v>
      </c>
      <c r="G40">
        <v>7</v>
      </c>
      <c r="H40">
        <v>406</v>
      </c>
      <c r="J40">
        <v>2842</v>
      </c>
      <c r="K40">
        <v>467.64178302727271</v>
      </c>
      <c r="L40" t="s">
        <v>32</v>
      </c>
      <c r="M40" t="s">
        <v>36</v>
      </c>
    </row>
    <row r="41" spans="1:13" x14ac:dyDescent="0.2">
      <c r="A41">
        <v>1205</v>
      </c>
      <c r="B41" s="2">
        <v>44646</v>
      </c>
      <c r="C41" t="s">
        <v>15</v>
      </c>
      <c r="D41" t="s">
        <v>20</v>
      </c>
      <c r="E41" t="s">
        <v>26</v>
      </c>
      <c r="F41" t="s">
        <v>28</v>
      </c>
      <c r="G41">
        <v>3</v>
      </c>
      <c r="H41">
        <v>31</v>
      </c>
      <c r="I41">
        <v>0.1</v>
      </c>
      <c r="J41">
        <v>83.7</v>
      </c>
      <c r="K41">
        <v>16.15142727542888</v>
      </c>
      <c r="L41" t="s">
        <v>32</v>
      </c>
      <c r="M41" t="s">
        <v>36</v>
      </c>
    </row>
    <row r="42" spans="1:13" x14ac:dyDescent="0.2">
      <c r="A42">
        <v>1748</v>
      </c>
      <c r="B42" s="2">
        <v>44767</v>
      </c>
      <c r="C42" t="s">
        <v>17</v>
      </c>
      <c r="D42" t="s">
        <v>20</v>
      </c>
      <c r="E42" t="s">
        <v>26</v>
      </c>
      <c r="F42" t="s">
        <v>30</v>
      </c>
      <c r="G42">
        <v>5</v>
      </c>
      <c r="H42">
        <v>28</v>
      </c>
      <c r="J42">
        <v>140</v>
      </c>
      <c r="K42">
        <v>24.42343778120016</v>
      </c>
      <c r="L42" t="s">
        <v>32</v>
      </c>
      <c r="M42" t="s">
        <v>34</v>
      </c>
    </row>
    <row r="43" spans="1:13" x14ac:dyDescent="0.2">
      <c r="A43">
        <v>1001</v>
      </c>
      <c r="B43" s="2">
        <v>44652</v>
      </c>
      <c r="C43" t="s">
        <v>14</v>
      </c>
      <c r="D43" t="s">
        <v>22</v>
      </c>
      <c r="E43" t="s">
        <v>26</v>
      </c>
      <c r="F43" t="s">
        <v>31</v>
      </c>
      <c r="G43">
        <v>3</v>
      </c>
      <c r="H43">
        <v>79</v>
      </c>
      <c r="I43">
        <v>0</v>
      </c>
      <c r="J43">
        <v>237</v>
      </c>
      <c r="K43">
        <v>13.283362010562801</v>
      </c>
      <c r="L43" t="s">
        <v>32</v>
      </c>
      <c r="M43" t="s">
        <v>35</v>
      </c>
    </row>
    <row r="44" spans="1:13" x14ac:dyDescent="0.2">
      <c r="A44">
        <v>1600</v>
      </c>
      <c r="B44" s="2">
        <v>44628</v>
      </c>
      <c r="C44" t="s">
        <v>15</v>
      </c>
      <c r="D44" t="s">
        <v>22</v>
      </c>
      <c r="E44" t="s">
        <v>26</v>
      </c>
      <c r="F44" t="s">
        <v>27</v>
      </c>
      <c r="G44">
        <v>3</v>
      </c>
      <c r="H44">
        <v>462</v>
      </c>
      <c r="I44">
        <v>0</v>
      </c>
      <c r="J44">
        <v>1386</v>
      </c>
      <c r="K44">
        <v>221.82895279157739</v>
      </c>
      <c r="L44" t="s">
        <v>32</v>
      </c>
      <c r="M44" t="s">
        <v>35</v>
      </c>
    </row>
    <row r="45" spans="1:13" x14ac:dyDescent="0.2">
      <c r="A45">
        <v>1441</v>
      </c>
      <c r="B45" s="2">
        <v>44832</v>
      </c>
      <c r="C45" t="s">
        <v>15</v>
      </c>
      <c r="D45" t="s">
        <v>20</v>
      </c>
      <c r="E45" t="s">
        <v>24</v>
      </c>
      <c r="F45" t="s">
        <v>31</v>
      </c>
      <c r="G45">
        <v>3</v>
      </c>
      <c r="H45">
        <v>331</v>
      </c>
      <c r="I45">
        <v>0.1</v>
      </c>
      <c r="J45">
        <v>893.7</v>
      </c>
      <c r="K45">
        <v>119.5788579838372</v>
      </c>
      <c r="L45" t="s">
        <v>32</v>
      </c>
      <c r="M45" t="s">
        <v>34</v>
      </c>
    </row>
    <row r="46" spans="1:13" x14ac:dyDescent="0.2">
      <c r="A46">
        <v>1974</v>
      </c>
      <c r="B46" s="2">
        <v>44821</v>
      </c>
      <c r="C46" t="s">
        <v>17</v>
      </c>
      <c r="D46" t="s">
        <v>20</v>
      </c>
      <c r="E46" t="s">
        <v>24</v>
      </c>
      <c r="F46" t="s">
        <v>30</v>
      </c>
      <c r="G46">
        <v>3</v>
      </c>
      <c r="H46">
        <v>202</v>
      </c>
      <c r="I46">
        <v>0.2</v>
      </c>
      <c r="J46">
        <v>484.8</v>
      </c>
      <c r="K46">
        <v>128.25105884264829</v>
      </c>
      <c r="L46" t="s">
        <v>32</v>
      </c>
      <c r="M46" t="s">
        <v>36</v>
      </c>
    </row>
    <row r="47" spans="1:13" x14ac:dyDescent="0.2">
      <c r="A47">
        <v>1313</v>
      </c>
      <c r="B47" s="2">
        <v>44595</v>
      </c>
      <c r="C47" t="s">
        <v>17</v>
      </c>
      <c r="D47" t="s">
        <v>21</v>
      </c>
      <c r="E47" t="s">
        <v>24</v>
      </c>
      <c r="F47" t="s">
        <v>30</v>
      </c>
      <c r="G47">
        <v>6</v>
      </c>
      <c r="H47">
        <v>449</v>
      </c>
      <c r="I47">
        <v>0</v>
      </c>
      <c r="J47">
        <v>2694</v>
      </c>
      <c r="K47">
        <v>382.75646879636241</v>
      </c>
      <c r="L47" t="s">
        <v>32</v>
      </c>
      <c r="M47" t="s">
        <v>36</v>
      </c>
    </row>
    <row r="48" spans="1:13" x14ac:dyDescent="0.2">
      <c r="A48">
        <v>1553</v>
      </c>
      <c r="B48" s="2">
        <v>44752</v>
      </c>
      <c r="C48" t="s">
        <v>18</v>
      </c>
      <c r="D48" t="s">
        <v>22</v>
      </c>
      <c r="E48" t="s">
        <v>26</v>
      </c>
      <c r="F48" t="s">
        <v>28</v>
      </c>
      <c r="G48">
        <v>4</v>
      </c>
      <c r="H48">
        <v>378</v>
      </c>
      <c r="I48">
        <v>0.1</v>
      </c>
      <c r="J48">
        <v>1360.8</v>
      </c>
      <c r="K48">
        <v>325.48686223527358</v>
      </c>
      <c r="L48" t="s">
        <v>32</v>
      </c>
      <c r="M48" t="s">
        <v>34</v>
      </c>
    </row>
    <row r="49" spans="1:13" x14ac:dyDescent="0.2">
      <c r="A49">
        <v>1492</v>
      </c>
      <c r="B49" s="2">
        <v>44689</v>
      </c>
      <c r="C49" t="s">
        <v>19</v>
      </c>
      <c r="D49" t="s">
        <v>21</v>
      </c>
      <c r="E49" t="s">
        <v>24</v>
      </c>
      <c r="F49" t="s">
        <v>31</v>
      </c>
      <c r="G49">
        <v>3</v>
      </c>
      <c r="H49">
        <v>338</v>
      </c>
      <c r="I49">
        <v>0.1</v>
      </c>
      <c r="J49">
        <v>912.6</v>
      </c>
      <c r="K49">
        <v>222.83651356932461</v>
      </c>
      <c r="L49" t="s">
        <v>32</v>
      </c>
      <c r="M49" t="s">
        <v>34</v>
      </c>
    </row>
    <row r="50" spans="1:13" x14ac:dyDescent="0.2">
      <c r="A50">
        <v>1683</v>
      </c>
      <c r="B50" s="2">
        <v>44819</v>
      </c>
      <c r="C50" t="s">
        <v>13</v>
      </c>
      <c r="D50" t="s">
        <v>21</v>
      </c>
      <c r="E50" t="s">
        <v>26</v>
      </c>
      <c r="F50" t="s">
        <v>28</v>
      </c>
      <c r="G50">
        <v>6</v>
      </c>
      <c r="H50">
        <v>138</v>
      </c>
      <c r="J50">
        <v>828</v>
      </c>
      <c r="K50">
        <v>192.819773500455</v>
      </c>
      <c r="L50" t="s">
        <v>32</v>
      </c>
      <c r="M50" t="s">
        <v>34</v>
      </c>
    </row>
    <row r="51" spans="1:13" x14ac:dyDescent="0.2">
      <c r="A51">
        <v>1489</v>
      </c>
      <c r="B51" s="2">
        <v>44712</v>
      </c>
      <c r="C51" t="s">
        <v>17</v>
      </c>
      <c r="D51" t="s">
        <v>21</v>
      </c>
      <c r="E51" t="s">
        <v>24</v>
      </c>
      <c r="F51" t="s">
        <v>27</v>
      </c>
      <c r="G51">
        <v>2</v>
      </c>
      <c r="H51">
        <v>308</v>
      </c>
      <c r="I51">
        <v>0</v>
      </c>
      <c r="J51">
        <v>616</v>
      </c>
      <c r="K51">
        <v>61.307035444999983</v>
      </c>
      <c r="L51" t="s">
        <v>32</v>
      </c>
      <c r="M51" t="s">
        <v>36</v>
      </c>
    </row>
    <row r="52" spans="1:13" x14ac:dyDescent="0.2">
      <c r="A52">
        <v>1840</v>
      </c>
      <c r="B52" s="2">
        <v>44624</v>
      </c>
      <c r="C52" t="s">
        <v>19</v>
      </c>
      <c r="D52" t="s">
        <v>21</v>
      </c>
      <c r="E52" t="s">
        <v>26</v>
      </c>
      <c r="F52" t="s">
        <v>29</v>
      </c>
      <c r="G52">
        <v>8</v>
      </c>
      <c r="H52">
        <v>40</v>
      </c>
      <c r="I52">
        <v>0.3</v>
      </c>
      <c r="J52">
        <v>224</v>
      </c>
      <c r="K52">
        <v>55.154230718242182</v>
      </c>
      <c r="L52" t="s">
        <v>32</v>
      </c>
      <c r="M52" t="s">
        <v>36</v>
      </c>
    </row>
    <row r="53" spans="1:13" x14ac:dyDescent="0.2">
      <c r="A53">
        <v>1387</v>
      </c>
      <c r="B53" s="2">
        <v>44627</v>
      </c>
      <c r="C53" t="s">
        <v>15</v>
      </c>
      <c r="D53" t="s">
        <v>20</v>
      </c>
      <c r="E53" t="s">
        <v>26</v>
      </c>
      <c r="F53" t="s">
        <v>29</v>
      </c>
      <c r="G53">
        <v>4</v>
      </c>
      <c r="H53">
        <v>376</v>
      </c>
      <c r="I53">
        <v>0</v>
      </c>
      <c r="J53">
        <v>1504</v>
      </c>
      <c r="K53">
        <v>269.69316522204508</v>
      </c>
      <c r="L53" t="s">
        <v>32</v>
      </c>
      <c r="M53" t="s">
        <v>35</v>
      </c>
    </row>
    <row r="54" spans="1:13" x14ac:dyDescent="0.2">
      <c r="A54">
        <v>1871</v>
      </c>
      <c r="B54" s="2">
        <v>44650</v>
      </c>
      <c r="C54" t="s">
        <v>18</v>
      </c>
      <c r="D54" t="s">
        <v>22</v>
      </c>
      <c r="E54" t="s">
        <v>24</v>
      </c>
      <c r="F54" t="s">
        <v>29</v>
      </c>
      <c r="G54">
        <v>6</v>
      </c>
      <c r="H54">
        <v>46</v>
      </c>
      <c r="I54">
        <v>0.1</v>
      </c>
      <c r="J54">
        <v>248.4</v>
      </c>
      <c r="K54">
        <v>33.193151030873977</v>
      </c>
      <c r="L54" t="s">
        <v>32</v>
      </c>
      <c r="M54" t="s">
        <v>34</v>
      </c>
    </row>
    <row r="55" spans="1:13" x14ac:dyDescent="0.2">
      <c r="A55">
        <v>1612</v>
      </c>
      <c r="B55" s="2">
        <v>44840</v>
      </c>
      <c r="C55" t="s">
        <v>15</v>
      </c>
      <c r="D55" t="s">
        <v>23</v>
      </c>
      <c r="E55" t="s">
        <v>26</v>
      </c>
      <c r="F55" t="s">
        <v>28</v>
      </c>
      <c r="G55">
        <v>2</v>
      </c>
      <c r="H55">
        <v>464</v>
      </c>
      <c r="I55">
        <v>0.3</v>
      </c>
      <c r="J55">
        <v>649.59999999999991</v>
      </c>
      <c r="K55">
        <v>105.616998974239</v>
      </c>
      <c r="L55" t="s">
        <v>32</v>
      </c>
      <c r="M55" t="s">
        <v>34</v>
      </c>
    </row>
    <row r="56" spans="1:13" x14ac:dyDescent="0.2">
      <c r="A56">
        <v>1663</v>
      </c>
      <c r="B56" s="2">
        <v>44580</v>
      </c>
      <c r="C56" t="s">
        <v>13</v>
      </c>
      <c r="D56" t="s">
        <v>21</v>
      </c>
      <c r="E56" t="s">
        <v>26</v>
      </c>
      <c r="F56" t="s">
        <v>27</v>
      </c>
      <c r="G56">
        <v>2</v>
      </c>
      <c r="H56">
        <v>400</v>
      </c>
      <c r="I56">
        <v>0.3</v>
      </c>
      <c r="J56">
        <v>560</v>
      </c>
      <c r="K56">
        <v>77.753839616003532</v>
      </c>
      <c r="L56" t="s">
        <v>33</v>
      </c>
      <c r="M56" t="s">
        <v>35</v>
      </c>
    </row>
    <row r="57" spans="1:13" x14ac:dyDescent="0.2">
      <c r="A57">
        <v>1347</v>
      </c>
      <c r="B57" s="2">
        <v>44795</v>
      </c>
      <c r="C57" t="s">
        <v>19</v>
      </c>
      <c r="D57" t="s">
        <v>20</v>
      </c>
      <c r="E57" t="s">
        <v>26</v>
      </c>
      <c r="F57" t="s">
        <v>30</v>
      </c>
      <c r="G57">
        <v>2</v>
      </c>
      <c r="H57">
        <v>402</v>
      </c>
      <c r="I57">
        <v>0.3</v>
      </c>
      <c r="J57">
        <v>562.79999999999995</v>
      </c>
      <c r="K57">
        <v>153.92435219810741</v>
      </c>
      <c r="L57" t="s">
        <v>33</v>
      </c>
      <c r="M57" t="s">
        <v>34</v>
      </c>
    </row>
    <row r="58" spans="1:13" x14ac:dyDescent="0.2">
      <c r="A58">
        <v>1441</v>
      </c>
      <c r="B58" s="2">
        <v>44832</v>
      </c>
      <c r="C58" t="s">
        <v>15</v>
      </c>
      <c r="D58" t="s">
        <v>20</v>
      </c>
      <c r="E58" t="s">
        <v>24</v>
      </c>
      <c r="F58" t="s">
        <v>31</v>
      </c>
      <c r="G58">
        <v>3</v>
      </c>
      <c r="H58">
        <v>331</v>
      </c>
      <c r="I58">
        <v>0.1</v>
      </c>
      <c r="J58">
        <v>893.7</v>
      </c>
      <c r="K58">
        <v>119.5788579838372</v>
      </c>
      <c r="L58" t="s">
        <v>32</v>
      </c>
      <c r="M58" t="s">
        <v>34</v>
      </c>
    </row>
    <row r="59" spans="1:13" x14ac:dyDescent="0.2">
      <c r="A59">
        <v>1747</v>
      </c>
      <c r="B59" s="2">
        <v>44598</v>
      </c>
      <c r="C59" t="s">
        <v>15</v>
      </c>
      <c r="D59" t="s">
        <v>21</v>
      </c>
      <c r="E59" t="s">
        <v>25</v>
      </c>
      <c r="F59" t="s">
        <v>27</v>
      </c>
      <c r="G59">
        <v>9</v>
      </c>
      <c r="H59">
        <v>23</v>
      </c>
      <c r="I59">
        <v>0</v>
      </c>
      <c r="J59">
        <v>207</v>
      </c>
      <c r="K59">
        <v>56.210631639067607</v>
      </c>
      <c r="L59" t="s">
        <v>32</v>
      </c>
      <c r="M59" t="s">
        <v>36</v>
      </c>
    </row>
    <row r="60" spans="1:13" x14ac:dyDescent="0.2">
      <c r="A60">
        <v>1648</v>
      </c>
      <c r="B60" s="2">
        <v>44813</v>
      </c>
      <c r="C60" t="s">
        <v>18</v>
      </c>
      <c r="D60" t="s">
        <v>21</v>
      </c>
      <c r="E60" t="s">
        <v>26</v>
      </c>
      <c r="F60" t="s">
        <v>31</v>
      </c>
      <c r="G60">
        <v>3</v>
      </c>
      <c r="H60">
        <v>74</v>
      </c>
      <c r="I60">
        <v>0.1</v>
      </c>
      <c r="J60">
        <v>199.8</v>
      </c>
      <c r="K60">
        <v>10.61974562278917</v>
      </c>
      <c r="L60" t="s">
        <v>32</v>
      </c>
      <c r="M60" t="s">
        <v>35</v>
      </c>
    </row>
    <row r="61" spans="1:13" x14ac:dyDescent="0.2">
      <c r="A61">
        <v>1738</v>
      </c>
      <c r="B61" s="2">
        <v>44735</v>
      </c>
      <c r="C61" t="s">
        <v>18</v>
      </c>
      <c r="D61" t="s">
        <v>21</v>
      </c>
      <c r="E61" t="s">
        <v>24</v>
      </c>
      <c r="F61" t="s">
        <v>28</v>
      </c>
      <c r="G61">
        <v>9</v>
      </c>
      <c r="H61">
        <v>435</v>
      </c>
      <c r="J61">
        <v>3915</v>
      </c>
      <c r="K61">
        <v>1121.3520613765261</v>
      </c>
      <c r="L61" t="s">
        <v>32</v>
      </c>
      <c r="M61" t="s">
        <v>35</v>
      </c>
    </row>
    <row r="62" spans="1:13" x14ac:dyDescent="0.2">
      <c r="A62">
        <v>1455</v>
      </c>
      <c r="B62" s="2">
        <v>44671</v>
      </c>
      <c r="C62" t="s">
        <v>17</v>
      </c>
      <c r="D62" t="s">
        <v>23</v>
      </c>
      <c r="E62" t="s">
        <v>26</v>
      </c>
      <c r="F62" t="s">
        <v>30</v>
      </c>
      <c r="G62">
        <v>9</v>
      </c>
      <c r="H62">
        <v>397</v>
      </c>
      <c r="J62">
        <v>3573</v>
      </c>
      <c r="K62">
        <v>830.28322524375346</v>
      </c>
      <c r="L62" t="s">
        <v>32</v>
      </c>
      <c r="M62" t="s">
        <v>34</v>
      </c>
    </row>
    <row r="63" spans="1:13" x14ac:dyDescent="0.2">
      <c r="A63">
        <v>1632</v>
      </c>
      <c r="B63" s="2">
        <v>44804</v>
      </c>
      <c r="C63" t="s">
        <v>13</v>
      </c>
      <c r="D63" t="s">
        <v>21</v>
      </c>
      <c r="E63" t="s">
        <v>26</v>
      </c>
      <c r="F63" t="s">
        <v>30</v>
      </c>
      <c r="G63">
        <v>5</v>
      </c>
      <c r="H63">
        <v>31</v>
      </c>
      <c r="I63">
        <v>0.1</v>
      </c>
      <c r="J63">
        <v>139.5</v>
      </c>
      <c r="K63">
        <v>40.703540707163569</v>
      </c>
      <c r="L63" t="s">
        <v>32</v>
      </c>
      <c r="M63" t="s">
        <v>35</v>
      </c>
    </row>
    <row r="64" spans="1:13" x14ac:dyDescent="0.2">
      <c r="A64">
        <v>1391</v>
      </c>
      <c r="B64" s="2">
        <v>44706</v>
      </c>
      <c r="C64" t="s">
        <v>15</v>
      </c>
      <c r="D64" t="s">
        <v>23</v>
      </c>
      <c r="E64" t="s">
        <v>24</v>
      </c>
      <c r="F64" t="s">
        <v>28</v>
      </c>
      <c r="G64">
        <v>9</v>
      </c>
      <c r="H64">
        <v>114</v>
      </c>
      <c r="I64">
        <v>0</v>
      </c>
      <c r="J64">
        <v>1026</v>
      </c>
      <c r="K64">
        <v>158.72048634252241</v>
      </c>
      <c r="L64" t="s">
        <v>32</v>
      </c>
      <c r="M64" t="s">
        <v>36</v>
      </c>
    </row>
    <row r="65" spans="1:13" x14ac:dyDescent="0.2">
      <c r="A65">
        <v>1520</v>
      </c>
      <c r="B65" s="2">
        <v>44697</v>
      </c>
      <c r="C65" t="s">
        <v>13</v>
      </c>
      <c r="D65" t="s">
        <v>20</v>
      </c>
      <c r="E65" t="s">
        <v>26</v>
      </c>
      <c r="F65" t="s">
        <v>31</v>
      </c>
      <c r="G65">
        <v>5</v>
      </c>
      <c r="H65">
        <v>224</v>
      </c>
      <c r="I65">
        <v>0.3</v>
      </c>
      <c r="J65">
        <v>784</v>
      </c>
      <c r="K65">
        <v>119.77473810973849</v>
      </c>
      <c r="L65" t="s">
        <v>32</v>
      </c>
      <c r="M65" t="s">
        <v>34</v>
      </c>
    </row>
    <row r="66" spans="1:13" x14ac:dyDescent="0.2">
      <c r="A66">
        <v>1166</v>
      </c>
      <c r="B66" s="2">
        <v>44625</v>
      </c>
      <c r="C66" t="s">
        <v>16</v>
      </c>
      <c r="D66" t="s">
        <v>21</v>
      </c>
      <c r="E66" t="s">
        <v>25</v>
      </c>
      <c r="F66" t="s">
        <v>31</v>
      </c>
      <c r="G66">
        <v>1</v>
      </c>
      <c r="H66">
        <v>322</v>
      </c>
      <c r="I66">
        <v>0.2</v>
      </c>
      <c r="J66">
        <v>257.60000000000002</v>
      </c>
      <c r="K66">
        <v>58.454652197314992</v>
      </c>
      <c r="L66" t="s">
        <v>32</v>
      </c>
      <c r="M66" t="s">
        <v>36</v>
      </c>
    </row>
    <row r="67" spans="1:13" x14ac:dyDescent="0.2">
      <c r="A67">
        <v>1498</v>
      </c>
      <c r="B67" s="2">
        <v>44704</v>
      </c>
      <c r="C67" t="s">
        <v>16</v>
      </c>
      <c r="D67" t="s">
        <v>22</v>
      </c>
      <c r="E67" t="s">
        <v>26</v>
      </c>
      <c r="F67" t="s">
        <v>30</v>
      </c>
      <c r="G67">
        <v>4</v>
      </c>
      <c r="H67">
        <v>357</v>
      </c>
      <c r="J67">
        <v>1428</v>
      </c>
      <c r="K67">
        <v>405.84561894581378</v>
      </c>
      <c r="L67" t="s">
        <v>32</v>
      </c>
      <c r="M67" t="s">
        <v>34</v>
      </c>
    </row>
    <row r="68" spans="1:13" x14ac:dyDescent="0.2">
      <c r="A68">
        <v>1189</v>
      </c>
      <c r="B68" s="2">
        <v>44609</v>
      </c>
      <c r="C68" t="s">
        <v>14</v>
      </c>
      <c r="D68" t="s">
        <v>22</v>
      </c>
      <c r="E68" t="s">
        <v>26</v>
      </c>
      <c r="F68" t="s">
        <v>31</v>
      </c>
      <c r="G68">
        <v>3</v>
      </c>
      <c r="H68">
        <v>307</v>
      </c>
      <c r="J68">
        <v>921</v>
      </c>
      <c r="K68">
        <v>156.79400789627999</v>
      </c>
      <c r="L68" t="s">
        <v>32</v>
      </c>
      <c r="M68" t="s">
        <v>34</v>
      </c>
    </row>
    <row r="69" spans="1:13" x14ac:dyDescent="0.2">
      <c r="A69">
        <v>1772</v>
      </c>
      <c r="B69" s="2">
        <v>44711</v>
      </c>
      <c r="C69" t="s">
        <v>19</v>
      </c>
      <c r="D69" t="s">
        <v>23</v>
      </c>
      <c r="E69" t="s">
        <v>24</v>
      </c>
      <c r="F69" t="s">
        <v>27</v>
      </c>
      <c r="G69">
        <v>3</v>
      </c>
      <c r="H69">
        <v>236</v>
      </c>
      <c r="I69">
        <v>0</v>
      </c>
      <c r="J69">
        <v>708</v>
      </c>
      <c r="K69">
        <v>151.1889044609112</v>
      </c>
      <c r="L69" t="s">
        <v>32</v>
      </c>
      <c r="M69" t="s">
        <v>34</v>
      </c>
    </row>
    <row r="70" spans="1:13" x14ac:dyDescent="0.2">
      <c r="A70">
        <v>1573</v>
      </c>
      <c r="B70" s="2">
        <v>44725</v>
      </c>
      <c r="C70" t="s">
        <v>18</v>
      </c>
      <c r="D70" t="s">
        <v>22</v>
      </c>
      <c r="E70" t="s">
        <v>25</v>
      </c>
      <c r="F70" t="s">
        <v>29</v>
      </c>
      <c r="G70">
        <v>4</v>
      </c>
      <c r="H70">
        <v>179</v>
      </c>
      <c r="I70">
        <v>0.2</v>
      </c>
      <c r="J70">
        <v>572.80000000000007</v>
      </c>
      <c r="K70">
        <v>45.074902451671953</v>
      </c>
      <c r="L70" t="s">
        <v>33</v>
      </c>
      <c r="M70" t="s">
        <v>36</v>
      </c>
    </row>
    <row r="71" spans="1:13" x14ac:dyDescent="0.2">
      <c r="A71">
        <v>1471</v>
      </c>
      <c r="B71" s="2">
        <v>44826</v>
      </c>
      <c r="C71" t="s">
        <v>14</v>
      </c>
      <c r="D71" t="s">
        <v>21</v>
      </c>
      <c r="E71" t="s">
        <v>25</v>
      </c>
      <c r="F71" t="s">
        <v>29</v>
      </c>
      <c r="G71">
        <v>5</v>
      </c>
      <c r="H71">
        <v>473</v>
      </c>
      <c r="I71">
        <v>0.1</v>
      </c>
      <c r="J71">
        <v>2128.5</v>
      </c>
      <c r="K71">
        <v>357.14521821962398</v>
      </c>
      <c r="L71" t="s">
        <v>32</v>
      </c>
      <c r="M71" t="s">
        <v>36</v>
      </c>
    </row>
    <row r="72" spans="1:13" x14ac:dyDescent="0.2">
      <c r="A72">
        <v>1330</v>
      </c>
      <c r="B72" s="2">
        <v>44792</v>
      </c>
      <c r="C72" t="s">
        <v>13</v>
      </c>
      <c r="D72" t="s">
        <v>22</v>
      </c>
      <c r="E72" t="s">
        <v>24</v>
      </c>
      <c r="F72" t="s">
        <v>30</v>
      </c>
      <c r="G72">
        <v>9</v>
      </c>
      <c r="H72">
        <v>333</v>
      </c>
      <c r="I72">
        <v>0.3</v>
      </c>
      <c r="J72">
        <v>2097.9</v>
      </c>
      <c r="K72">
        <v>178.69467867337261</v>
      </c>
      <c r="L72" t="s">
        <v>32</v>
      </c>
      <c r="M72" t="s">
        <v>36</v>
      </c>
    </row>
    <row r="73" spans="1:13" x14ac:dyDescent="0.2">
      <c r="A73">
        <v>1683</v>
      </c>
      <c r="B73" s="2">
        <v>44859</v>
      </c>
      <c r="C73" t="s">
        <v>14</v>
      </c>
      <c r="D73" t="s">
        <v>21</v>
      </c>
      <c r="E73" t="s">
        <v>25</v>
      </c>
      <c r="F73" t="s">
        <v>28</v>
      </c>
      <c r="G73">
        <v>4</v>
      </c>
      <c r="H73">
        <v>383</v>
      </c>
      <c r="I73">
        <v>0.2</v>
      </c>
      <c r="J73">
        <v>1225.5999999999999</v>
      </c>
      <c r="K73">
        <v>258.25901724198809</v>
      </c>
      <c r="L73" t="s">
        <v>32</v>
      </c>
      <c r="M73" t="s">
        <v>34</v>
      </c>
    </row>
    <row r="74" spans="1:13" x14ac:dyDescent="0.2">
      <c r="A74">
        <v>1040</v>
      </c>
      <c r="B74" s="2">
        <v>44690</v>
      </c>
      <c r="C74" t="s">
        <v>13</v>
      </c>
      <c r="D74" t="s">
        <v>22</v>
      </c>
      <c r="E74" t="s">
        <v>25</v>
      </c>
      <c r="F74" t="s">
        <v>27</v>
      </c>
      <c r="G74">
        <v>2</v>
      </c>
      <c r="H74">
        <v>233</v>
      </c>
      <c r="I74">
        <v>0.2</v>
      </c>
      <c r="J74">
        <v>372.8</v>
      </c>
      <c r="K74">
        <v>24.732125885000709</v>
      </c>
      <c r="L74" t="s">
        <v>32</v>
      </c>
      <c r="M74" t="s">
        <v>35</v>
      </c>
    </row>
    <row r="75" spans="1:13" x14ac:dyDescent="0.2">
      <c r="A75">
        <v>1230</v>
      </c>
      <c r="B75" s="2">
        <v>44713</v>
      </c>
      <c r="C75" t="s">
        <v>16</v>
      </c>
      <c r="D75" t="s">
        <v>22</v>
      </c>
      <c r="E75" t="s">
        <v>26</v>
      </c>
      <c r="F75" t="s">
        <v>29</v>
      </c>
      <c r="G75">
        <v>7</v>
      </c>
      <c r="H75">
        <v>121</v>
      </c>
      <c r="I75">
        <v>0</v>
      </c>
      <c r="J75">
        <v>847</v>
      </c>
      <c r="K75">
        <v>162.05868140553841</v>
      </c>
      <c r="L75" t="s">
        <v>32</v>
      </c>
      <c r="M75" t="s">
        <v>36</v>
      </c>
    </row>
    <row r="76" spans="1:13" x14ac:dyDescent="0.2">
      <c r="A76">
        <v>1691</v>
      </c>
      <c r="B76" s="2">
        <v>44828</v>
      </c>
      <c r="C76" t="s">
        <v>17</v>
      </c>
      <c r="D76" t="s">
        <v>21</v>
      </c>
      <c r="E76" t="s">
        <v>25</v>
      </c>
      <c r="F76" t="s">
        <v>30</v>
      </c>
      <c r="G76">
        <v>6</v>
      </c>
      <c r="H76">
        <v>230</v>
      </c>
      <c r="I76">
        <v>0.1</v>
      </c>
      <c r="J76">
        <v>1242</v>
      </c>
      <c r="K76">
        <v>204.70184372228289</v>
      </c>
      <c r="L76" t="s">
        <v>32</v>
      </c>
      <c r="M76" t="s">
        <v>34</v>
      </c>
    </row>
    <row r="77" spans="1:13" x14ac:dyDescent="0.2">
      <c r="A77">
        <v>1401</v>
      </c>
      <c r="B77" s="2">
        <v>44660</v>
      </c>
      <c r="C77" t="s">
        <v>14</v>
      </c>
      <c r="D77" t="s">
        <v>23</v>
      </c>
      <c r="E77" t="s">
        <v>24</v>
      </c>
      <c r="F77" t="s">
        <v>31</v>
      </c>
      <c r="G77">
        <v>3</v>
      </c>
      <c r="H77">
        <v>46</v>
      </c>
      <c r="I77">
        <v>0.2</v>
      </c>
      <c r="J77">
        <v>110.4</v>
      </c>
      <c r="K77">
        <v>29.607354913375019</v>
      </c>
      <c r="L77" t="s">
        <v>32</v>
      </c>
      <c r="M77" t="s">
        <v>35</v>
      </c>
    </row>
    <row r="78" spans="1:13" x14ac:dyDescent="0.2">
      <c r="A78">
        <v>1242</v>
      </c>
      <c r="B78" s="2">
        <v>44776</v>
      </c>
      <c r="C78" t="s">
        <v>15</v>
      </c>
      <c r="D78" t="s">
        <v>23</v>
      </c>
      <c r="E78" t="s">
        <v>25</v>
      </c>
      <c r="F78" t="s">
        <v>29</v>
      </c>
      <c r="G78">
        <v>2</v>
      </c>
      <c r="H78">
        <v>283</v>
      </c>
      <c r="J78">
        <v>566</v>
      </c>
      <c r="K78">
        <v>68.930021068967434</v>
      </c>
      <c r="L78" t="s">
        <v>33</v>
      </c>
      <c r="M78" t="s">
        <v>36</v>
      </c>
    </row>
    <row r="79" spans="1:13" x14ac:dyDescent="0.2">
      <c r="A79">
        <v>1106</v>
      </c>
      <c r="B79" s="2">
        <v>44566</v>
      </c>
      <c r="C79" t="s">
        <v>16</v>
      </c>
      <c r="D79" t="s">
        <v>20</v>
      </c>
      <c r="E79" t="s">
        <v>24</v>
      </c>
      <c r="F79" t="s">
        <v>27</v>
      </c>
      <c r="G79">
        <v>1</v>
      </c>
      <c r="H79">
        <v>41</v>
      </c>
      <c r="I79">
        <v>0</v>
      </c>
      <c r="J79">
        <v>41</v>
      </c>
      <c r="K79">
        <v>3.690734258284373</v>
      </c>
      <c r="L79" t="s">
        <v>32</v>
      </c>
      <c r="M79" t="s">
        <v>35</v>
      </c>
    </row>
    <row r="80" spans="1:13" x14ac:dyDescent="0.2">
      <c r="A80">
        <v>1047</v>
      </c>
      <c r="B80" s="2">
        <v>44722</v>
      </c>
      <c r="C80" t="s">
        <v>16</v>
      </c>
      <c r="D80" t="s">
        <v>23</v>
      </c>
      <c r="E80" t="s">
        <v>26</v>
      </c>
      <c r="F80" t="s">
        <v>28</v>
      </c>
      <c r="G80">
        <v>9</v>
      </c>
      <c r="H80">
        <v>95</v>
      </c>
      <c r="I80">
        <v>0.1</v>
      </c>
      <c r="J80">
        <v>769.5</v>
      </c>
      <c r="K80">
        <v>202.11226412718889</v>
      </c>
      <c r="L80" t="s">
        <v>32</v>
      </c>
      <c r="M80" t="s">
        <v>34</v>
      </c>
    </row>
    <row r="81" spans="1:13" x14ac:dyDescent="0.2">
      <c r="A81">
        <v>1505</v>
      </c>
      <c r="B81" s="2">
        <v>44794</v>
      </c>
      <c r="C81" t="s">
        <v>15</v>
      </c>
      <c r="D81" t="s">
        <v>23</v>
      </c>
      <c r="E81" t="s">
        <v>25</v>
      </c>
      <c r="F81" t="s">
        <v>28</v>
      </c>
      <c r="G81">
        <v>9</v>
      </c>
      <c r="H81">
        <v>429</v>
      </c>
      <c r="J81">
        <v>3861</v>
      </c>
      <c r="K81">
        <v>370.87302607450471</v>
      </c>
      <c r="L81" t="s">
        <v>32</v>
      </c>
      <c r="M81" t="s">
        <v>34</v>
      </c>
    </row>
    <row r="82" spans="1:13" x14ac:dyDescent="0.2">
      <c r="A82">
        <v>1663</v>
      </c>
      <c r="B82" s="2">
        <v>44820</v>
      </c>
      <c r="C82" t="s">
        <v>18</v>
      </c>
      <c r="D82" t="s">
        <v>23</v>
      </c>
      <c r="E82" t="s">
        <v>26</v>
      </c>
      <c r="F82" t="s">
        <v>27</v>
      </c>
      <c r="G82">
        <v>8</v>
      </c>
      <c r="H82">
        <v>328</v>
      </c>
      <c r="I82">
        <v>0.1</v>
      </c>
      <c r="J82">
        <v>2361.6</v>
      </c>
      <c r="K82">
        <v>228.72801179521261</v>
      </c>
      <c r="L82" t="s">
        <v>32</v>
      </c>
      <c r="M82" t="s">
        <v>34</v>
      </c>
    </row>
    <row r="83" spans="1:13" x14ac:dyDescent="0.2">
      <c r="A83">
        <v>1001</v>
      </c>
      <c r="B83" s="2">
        <v>44846</v>
      </c>
      <c r="C83" t="s">
        <v>17</v>
      </c>
      <c r="D83" t="s">
        <v>23</v>
      </c>
      <c r="E83" t="s">
        <v>24</v>
      </c>
      <c r="F83" t="s">
        <v>31</v>
      </c>
      <c r="G83">
        <v>8</v>
      </c>
      <c r="H83">
        <v>410</v>
      </c>
      <c r="I83">
        <v>0.3</v>
      </c>
      <c r="J83">
        <v>2296</v>
      </c>
      <c r="K83">
        <v>385.31883408654647</v>
      </c>
      <c r="L83" t="s">
        <v>32</v>
      </c>
      <c r="M83" t="s">
        <v>36</v>
      </c>
    </row>
    <row r="84" spans="1:13" x14ac:dyDescent="0.2">
      <c r="A84">
        <v>1159</v>
      </c>
      <c r="B84" s="2">
        <v>44773</v>
      </c>
      <c r="C84" t="s">
        <v>17</v>
      </c>
      <c r="D84" t="s">
        <v>21</v>
      </c>
      <c r="E84" t="s">
        <v>26</v>
      </c>
      <c r="F84" t="s">
        <v>28</v>
      </c>
      <c r="G84">
        <v>4</v>
      </c>
      <c r="H84">
        <v>60</v>
      </c>
      <c r="I84">
        <v>0.2</v>
      </c>
      <c r="J84">
        <v>192</v>
      </c>
      <c r="K84">
        <v>55.894879387238959</v>
      </c>
      <c r="L84" t="s">
        <v>32</v>
      </c>
      <c r="M84" t="s">
        <v>35</v>
      </c>
    </row>
    <row r="85" spans="1:13" x14ac:dyDescent="0.2">
      <c r="A85">
        <v>1955</v>
      </c>
      <c r="B85" s="2">
        <v>44639</v>
      </c>
      <c r="C85" t="s">
        <v>14</v>
      </c>
      <c r="D85" t="s">
        <v>22</v>
      </c>
      <c r="E85" t="s">
        <v>24</v>
      </c>
      <c r="F85" t="s">
        <v>30</v>
      </c>
      <c r="G85">
        <v>1</v>
      </c>
      <c r="H85">
        <v>34</v>
      </c>
      <c r="I85">
        <v>0.3</v>
      </c>
      <c r="J85">
        <v>23.8</v>
      </c>
      <c r="K85">
        <v>3.6964259170997278</v>
      </c>
      <c r="L85" t="s">
        <v>32</v>
      </c>
      <c r="M85" t="s">
        <v>36</v>
      </c>
    </row>
    <row r="86" spans="1:13" x14ac:dyDescent="0.2">
      <c r="A86">
        <v>1775</v>
      </c>
      <c r="B86" s="2">
        <v>44643</v>
      </c>
      <c r="C86" t="s">
        <v>14</v>
      </c>
      <c r="D86" t="s">
        <v>23</v>
      </c>
      <c r="E86" t="s">
        <v>24</v>
      </c>
      <c r="F86" t="s">
        <v>29</v>
      </c>
      <c r="G86">
        <v>9</v>
      </c>
      <c r="H86">
        <v>339</v>
      </c>
      <c r="J86">
        <v>3051</v>
      </c>
      <c r="K86">
        <v>465.2049546158438</v>
      </c>
      <c r="L86" t="s">
        <v>32</v>
      </c>
      <c r="M86" t="s">
        <v>34</v>
      </c>
    </row>
    <row r="87" spans="1:13" x14ac:dyDescent="0.2">
      <c r="A87">
        <v>1251</v>
      </c>
      <c r="B87" s="2">
        <v>44674</v>
      </c>
      <c r="C87" t="s">
        <v>14</v>
      </c>
      <c r="D87" t="s">
        <v>22</v>
      </c>
      <c r="E87" t="s">
        <v>25</v>
      </c>
      <c r="F87" t="s">
        <v>30</v>
      </c>
      <c r="G87">
        <v>1</v>
      </c>
      <c r="H87">
        <v>65</v>
      </c>
      <c r="I87">
        <v>0.1</v>
      </c>
      <c r="J87">
        <v>58.5</v>
      </c>
      <c r="K87">
        <v>11.849542811110499</v>
      </c>
      <c r="L87" t="s">
        <v>32</v>
      </c>
      <c r="M87" t="s">
        <v>36</v>
      </c>
    </row>
    <row r="88" spans="1:13" x14ac:dyDescent="0.2">
      <c r="A88">
        <v>1080</v>
      </c>
      <c r="B88" s="2">
        <v>44647</v>
      </c>
      <c r="C88" t="s">
        <v>19</v>
      </c>
      <c r="D88" t="s">
        <v>20</v>
      </c>
      <c r="E88" t="s">
        <v>25</v>
      </c>
      <c r="F88" t="s">
        <v>28</v>
      </c>
      <c r="G88">
        <v>2</v>
      </c>
      <c r="H88">
        <v>293</v>
      </c>
      <c r="I88">
        <v>0</v>
      </c>
      <c r="J88">
        <v>586</v>
      </c>
      <c r="K88">
        <v>115.408211366312</v>
      </c>
      <c r="L88" t="s">
        <v>32</v>
      </c>
      <c r="M88" t="s">
        <v>34</v>
      </c>
    </row>
    <row r="89" spans="1:13" x14ac:dyDescent="0.2">
      <c r="A89">
        <v>1020</v>
      </c>
      <c r="B89" s="2">
        <v>44623</v>
      </c>
      <c r="C89" t="s">
        <v>19</v>
      </c>
      <c r="D89" t="s">
        <v>22</v>
      </c>
      <c r="E89" t="s">
        <v>26</v>
      </c>
      <c r="F89" t="s">
        <v>27</v>
      </c>
      <c r="G89">
        <v>5</v>
      </c>
      <c r="H89">
        <v>496</v>
      </c>
      <c r="J89">
        <v>2480</v>
      </c>
      <c r="K89">
        <v>331.22775759155769</v>
      </c>
      <c r="L89" t="s">
        <v>32</v>
      </c>
      <c r="M89" t="s">
        <v>35</v>
      </c>
    </row>
    <row r="90" spans="1:13" x14ac:dyDescent="0.2">
      <c r="A90">
        <v>1476</v>
      </c>
      <c r="B90" s="2">
        <v>44658</v>
      </c>
      <c r="C90" t="s">
        <v>13</v>
      </c>
      <c r="D90" t="s">
        <v>22</v>
      </c>
      <c r="E90" t="s">
        <v>24</v>
      </c>
      <c r="F90" t="s">
        <v>28</v>
      </c>
      <c r="G90">
        <v>1</v>
      </c>
      <c r="H90">
        <v>27</v>
      </c>
      <c r="I90">
        <v>0</v>
      </c>
      <c r="J90">
        <v>27</v>
      </c>
      <c r="K90">
        <v>3.1002531223439731</v>
      </c>
      <c r="L90" t="s">
        <v>33</v>
      </c>
      <c r="M90" t="s">
        <v>35</v>
      </c>
    </row>
    <row r="91" spans="1:13" x14ac:dyDescent="0.2">
      <c r="A91">
        <v>1071</v>
      </c>
      <c r="B91" s="2">
        <v>44567</v>
      </c>
      <c r="C91" t="s">
        <v>16</v>
      </c>
      <c r="D91" t="s">
        <v>23</v>
      </c>
      <c r="E91" t="s">
        <v>24</v>
      </c>
      <c r="F91" t="s">
        <v>28</v>
      </c>
      <c r="G91">
        <v>9</v>
      </c>
      <c r="H91">
        <v>493</v>
      </c>
      <c r="I91">
        <v>0.3</v>
      </c>
      <c r="J91">
        <v>3105.9</v>
      </c>
      <c r="K91">
        <v>513.68283995010631</v>
      </c>
      <c r="L91" t="s">
        <v>32</v>
      </c>
      <c r="M91" t="s">
        <v>35</v>
      </c>
    </row>
    <row r="92" spans="1:13" x14ac:dyDescent="0.2">
      <c r="A92">
        <v>1013</v>
      </c>
      <c r="B92" s="2">
        <v>44630</v>
      </c>
      <c r="C92" t="s">
        <v>16</v>
      </c>
      <c r="D92" t="s">
        <v>21</v>
      </c>
      <c r="E92" t="s">
        <v>26</v>
      </c>
      <c r="F92" t="s">
        <v>29</v>
      </c>
      <c r="G92">
        <v>4</v>
      </c>
      <c r="H92">
        <v>281</v>
      </c>
      <c r="I92">
        <v>0.3</v>
      </c>
      <c r="J92">
        <v>786.8</v>
      </c>
      <c r="K92">
        <v>103.8955146349516</v>
      </c>
      <c r="L92" t="s">
        <v>32</v>
      </c>
      <c r="M92" t="s">
        <v>35</v>
      </c>
    </row>
    <row r="93" spans="1:13" x14ac:dyDescent="0.2">
      <c r="A93">
        <v>1957</v>
      </c>
      <c r="B93" s="2">
        <v>44803</v>
      </c>
      <c r="C93" t="s">
        <v>19</v>
      </c>
      <c r="D93" t="s">
        <v>22</v>
      </c>
      <c r="E93" t="s">
        <v>25</v>
      </c>
      <c r="F93" t="s">
        <v>31</v>
      </c>
      <c r="G93">
        <v>8</v>
      </c>
      <c r="H93">
        <v>485</v>
      </c>
      <c r="I93">
        <v>0.3</v>
      </c>
      <c r="J93">
        <v>2716</v>
      </c>
      <c r="K93">
        <v>478.83539925853739</v>
      </c>
      <c r="L93" t="s">
        <v>32</v>
      </c>
      <c r="M93" t="s">
        <v>34</v>
      </c>
    </row>
    <row r="94" spans="1:13" x14ac:dyDescent="0.2">
      <c r="A94">
        <v>1645</v>
      </c>
      <c r="B94" s="2">
        <v>44784</v>
      </c>
      <c r="C94" t="s">
        <v>14</v>
      </c>
      <c r="D94" t="s">
        <v>22</v>
      </c>
      <c r="E94" t="s">
        <v>24</v>
      </c>
      <c r="F94" t="s">
        <v>28</v>
      </c>
      <c r="G94">
        <v>9</v>
      </c>
      <c r="H94">
        <v>270</v>
      </c>
      <c r="I94">
        <v>0.3</v>
      </c>
      <c r="J94">
        <v>1701</v>
      </c>
      <c r="K94">
        <v>152.22028841073171</v>
      </c>
      <c r="L94" t="s">
        <v>32</v>
      </c>
      <c r="M94" t="s">
        <v>35</v>
      </c>
    </row>
    <row r="95" spans="1:13" x14ac:dyDescent="0.2">
      <c r="A95">
        <v>1646</v>
      </c>
      <c r="B95" s="2">
        <v>44622</v>
      </c>
      <c r="C95" t="s">
        <v>13</v>
      </c>
      <c r="D95" t="s">
        <v>23</v>
      </c>
      <c r="E95" t="s">
        <v>25</v>
      </c>
      <c r="F95" t="s">
        <v>28</v>
      </c>
      <c r="G95">
        <v>6</v>
      </c>
      <c r="H95">
        <v>111</v>
      </c>
      <c r="I95">
        <v>0</v>
      </c>
      <c r="J95">
        <v>666</v>
      </c>
      <c r="K95">
        <v>43.048729719122541</v>
      </c>
      <c r="L95" t="s">
        <v>32</v>
      </c>
      <c r="M95" t="s">
        <v>35</v>
      </c>
    </row>
    <row r="96" spans="1:13" x14ac:dyDescent="0.2">
      <c r="A96">
        <v>1087</v>
      </c>
      <c r="B96" s="2">
        <v>44576</v>
      </c>
      <c r="C96" t="s">
        <v>16</v>
      </c>
      <c r="D96" t="s">
        <v>23</v>
      </c>
      <c r="E96" t="s">
        <v>24</v>
      </c>
      <c r="F96" t="s">
        <v>29</v>
      </c>
      <c r="G96">
        <v>2</v>
      </c>
      <c r="H96">
        <v>183</v>
      </c>
      <c r="I96">
        <v>0.2</v>
      </c>
      <c r="J96">
        <v>292.8</v>
      </c>
      <c r="K96">
        <v>55.272218288927363</v>
      </c>
      <c r="L96" t="s">
        <v>32</v>
      </c>
      <c r="M96" t="s">
        <v>36</v>
      </c>
    </row>
    <row r="97" spans="1:13" x14ac:dyDescent="0.2">
      <c r="A97">
        <v>1642</v>
      </c>
      <c r="B97" s="2">
        <v>44739</v>
      </c>
      <c r="C97" t="s">
        <v>18</v>
      </c>
      <c r="D97" t="s">
        <v>20</v>
      </c>
      <c r="E97" t="s">
        <v>26</v>
      </c>
      <c r="F97" t="s">
        <v>29</v>
      </c>
      <c r="G97">
        <v>1</v>
      </c>
      <c r="H97">
        <v>244</v>
      </c>
      <c r="J97">
        <v>244</v>
      </c>
      <c r="K97">
        <v>37.317698036655017</v>
      </c>
      <c r="L97" t="s">
        <v>32</v>
      </c>
      <c r="M97" t="s">
        <v>36</v>
      </c>
    </row>
    <row r="98" spans="1:13" x14ac:dyDescent="0.2">
      <c r="A98">
        <v>1856</v>
      </c>
      <c r="B98" s="2">
        <v>44599</v>
      </c>
      <c r="C98" t="s">
        <v>17</v>
      </c>
      <c r="D98" t="s">
        <v>23</v>
      </c>
      <c r="E98" t="s">
        <v>26</v>
      </c>
      <c r="F98" t="s">
        <v>30</v>
      </c>
      <c r="G98">
        <v>5</v>
      </c>
      <c r="H98">
        <v>484</v>
      </c>
      <c r="I98">
        <v>0.3</v>
      </c>
      <c r="J98">
        <v>1694</v>
      </c>
      <c r="K98">
        <v>335.85427552810307</v>
      </c>
      <c r="L98" t="s">
        <v>32</v>
      </c>
      <c r="M98" t="s">
        <v>36</v>
      </c>
    </row>
    <row r="99" spans="1:13" x14ac:dyDescent="0.2">
      <c r="A99">
        <v>1686</v>
      </c>
      <c r="B99" s="2">
        <v>44611</v>
      </c>
      <c r="C99" t="s">
        <v>16</v>
      </c>
      <c r="D99" t="s">
        <v>23</v>
      </c>
      <c r="E99" t="s">
        <v>25</v>
      </c>
      <c r="F99" t="s">
        <v>29</v>
      </c>
      <c r="G99">
        <v>8</v>
      </c>
      <c r="H99">
        <v>194</v>
      </c>
      <c r="I99">
        <v>0.3</v>
      </c>
      <c r="J99">
        <v>1086.4000000000001</v>
      </c>
      <c r="K99">
        <v>71.934236261574199</v>
      </c>
      <c r="L99" t="s">
        <v>32</v>
      </c>
      <c r="M99" t="s">
        <v>34</v>
      </c>
    </row>
    <row r="100" spans="1:13" x14ac:dyDescent="0.2">
      <c r="A100">
        <v>1854</v>
      </c>
      <c r="B100" s="2">
        <v>44850</v>
      </c>
      <c r="C100" t="s">
        <v>17</v>
      </c>
      <c r="D100" t="s">
        <v>21</v>
      </c>
      <c r="E100" t="s">
        <v>24</v>
      </c>
      <c r="F100" t="s">
        <v>29</v>
      </c>
      <c r="G100">
        <v>7</v>
      </c>
      <c r="H100">
        <v>232</v>
      </c>
      <c r="J100">
        <v>1624</v>
      </c>
      <c r="K100">
        <v>355.72809020262622</v>
      </c>
      <c r="L100" t="s">
        <v>32</v>
      </c>
      <c r="M100" t="s">
        <v>36</v>
      </c>
    </row>
    <row r="101" spans="1:13" x14ac:dyDescent="0.2">
      <c r="A101">
        <v>1219</v>
      </c>
      <c r="B101" s="2">
        <v>44848</v>
      </c>
      <c r="C101" t="s">
        <v>14</v>
      </c>
      <c r="D101" t="s">
        <v>22</v>
      </c>
      <c r="E101" t="s">
        <v>24</v>
      </c>
      <c r="F101" t="s">
        <v>27</v>
      </c>
      <c r="G101">
        <v>6</v>
      </c>
      <c r="H101">
        <v>324</v>
      </c>
      <c r="I101">
        <v>0</v>
      </c>
      <c r="J101">
        <v>1944</v>
      </c>
      <c r="K101">
        <v>405.39307921172809</v>
      </c>
      <c r="L101" t="s">
        <v>33</v>
      </c>
      <c r="M101" t="s">
        <v>35</v>
      </c>
    </row>
    <row r="102" spans="1:13" x14ac:dyDescent="0.2">
      <c r="A102">
        <v>1951</v>
      </c>
      <c r="B102" s="2">
        <v>44842</v>
      </c>
      <c r="C102" t="s">
        <v>19</v>
      </c>
      <c r="D102" t="s">
        <v>21</v>
      </c>
      <c r="E102" t="s">
        <v>26</v>
      </c>
      <c r="F102" t="s">
        <v>27</v>
      </c>
      <c r="G102">
        <v>9</v>
      </c>
      <c r="H102">
        <v>457</v>
      </c>
      <c r="I102">
        <v>0.1</v>
      </c>
      <c r="J102">
        <v>3701.7</v>
      </c>
      <c r="K102">
        <v>787.67325373912331</v>
      </c>
      <c r="L102" t="s">
        <v>32</v>
      </c>
      <c r="M102" t="s">
        <v>35</v>
      </c>
    </row>
    <row r="103" spans="1:13" x14ac:dyDescent="0.2">
      <c r="A103">
        <v>1295</v>
      </c>
      <c r="B103" s="2">
        <v>44676</v>
      </c>
      <c r="C103" t="s">
        <v>14</v>
      </c>
      <c r="D103" t="s">
        <v>23</v>
      </c>
      <c r="E103" t="s">
        <v>26</v>
      </c>
      <c r="F103" t="s">
        <v>29</v>
      </c>
      <c r="G103">
        <v>5</v>
      </c>
      <c r="H103">
        <v>172</v>
      </c>
      <c r="I103">
        <v>0.3</v>
      </c>
      <c r="J103">
        <v>602</v>
      </c>
      <c r="K103">
        <v>143.18195044737141</v>
      </c>
      <c r="L103" t="s">
        <v>32</v>
      </c>
      <c r="M103" t="s">
        <v>35</v>
      </c>
    </row>
    <row r="104" spans="1:13" x14ac:dyDescent="0.2">
      <c r="A104">
        <v>1870</v>
      </c>
      <c r="B104" s="2">
        <v>44746</v>
      </c>
      <c r="C104" t="s">
        <v>17</v>
      </c>
      <c r="D104" t="s">
        <v>22</v>
      </c>
      <c r="E104" t="s">
        <v>26</v>
      </c>
      <c r="F104" t="s">
        <v>31</v>
      </c>
      <c r="G104">
        <v>7</v>
      </c>
      <c r="H104">
        <v>135</v>
      </c>
      <c r="I104">
        <v>0</v>
      </c>
      <c r="J104">
        <v>945</v>
      </c>
      <c r="K104">
        <v>59.524741447195908</v>
      </c>
      <c r="L104" t="s">
        <v>32</v>
      </c>
      <c r="M104" t="s">
        <v>36</v>
      </c>
    </row>
    <row r="105" spans="1:13" x14ac:dyDescent="0.2">
      <c r="A105">
        <v>1106</v>
      </c>
      <c r="B105" s="2">
        <v>44566</v>
      </c>
      <c r="C105" t="s">
        <v>16</v>
      </c>
      <c r="D105" t="s">
        <v>20</v>
      </c>
      <c r="E105" t="s">
        <v>24</v>
      </c>
      <c r="F105" t="s">
        <v>27</v>
      </c>
      <c r="G105">
        <v>1</v>
      </c>
      <c r="H105">
        <v>41</v>
      </c>
      <c r="I105">
        <v>0</v>
      </c>
      <c r="J105">
        <v>41</v>
      </c>
      <c r="K105">
        <v>3.690734258284373</v>
      </c>
      <c r="L105" t="s">
        <v>32</v>
      </c>
      <c r="M105" t="s">
        <v>36</v>
      </c>
    </row>
    <row r="106" spans="1:13" x14ac:dyDescent="0.2">
      <c r="A106">
        <v>1592</v>
      </c>
      <c r="B106" s="2">
        <v>44705</v>
      </c>
      <c r="C106" t="s">
        <v>13</v>
      </c>
      <c r="D106" t="s">
        <v>21</v>
      </c>
      <c r="E106" t="s">
        <v>26</v>
      </c>
      <c r="F106" t="s">
        <v>28</v>
      </c>
      <c r="G106">
        <v>6</v>
      </c>
      <c r="H106">
        <v>385</v>
      </c>
      <c r="J106">
        <v>2310</v>
      </c>
      <c r="K106">
        <v>145.67892528767871</v>
      </c>
      <c r="L106" t="s">
        <v>32</v>
      </c>
      <c r="M106" t="s">
        <v>36</v>
      </c>
    </row>
    <row r="107" spans="1:13" x14ac:dyDescent="0.2">
      <c r="A107">
        <v>1829</v>
      </c>
      <c r="B107" s="2">
        <v>44830</v>
      </c>
      <c r="C107" t="s">
        <v>13</v>
      </c>
      <c r="D107" t="s">
        <v>21</v>
      </c>
      <c r="E107" t="s">
        <v>26</v>
      </c>
      <c r="F107" t="s">
        <v>28</v>
      </c>
      <c r="G107">
        <v>5</v>
      </c>
      <c r="H107">
        <v>56</v>
      </c>
      <c r="I107">
        <v>0</v>
      </c>
      <c r="J107">
        <v>280</v>
      </c>
      <c r="K107">
        <v>48.594871307520997</v>
      </c>
      <c r="L107" t="s">
        <v>32</v>
      </c>
      <c r="M107" t="s">
        <v>36</v>
      </c>
    </row>
    <row r="108" spans="1:13" x14ac:dyDescent="0.2">
      <c r="A108">
        <v>1995</v>
      </c>
      <c r="B108" s="2">
        <v>44666</v>
      </c>
      <c r="C108" t="s">
        <v>15</v>
      </c>
      <c r="D108" t="s">
        <v>23</v>
      </c>
      <c r="E108" t="s">
        <v>26</v>
      </c>
      <c r="F108" t="s">
        <v>29</v>
      </c>
      <c r="G108">
        <v>6</v>
      </c>
      <c r="H108">
        <v>467</v>
      </c>
      <c r="I108">
        <v>0.2</v>
      </c>
      <c r="J108">
        <v>2241.6</v>
      </c>
      <c r="K108">
        <v>186.88217654189489</v>
      </c>
      <c r="L108" t="s">
        <v>32</v>
      </c>
      <c r="M108" t="s">
        <v>35</v>
      </c>
    </row>
    <row r="109" spans="1:13" x14ac:dyDescent="0.2">
      <c r="A109">
        <v>1671</v>
      </c>
      <c r="B109" s="2">
        <v>44824</v>
      </c>
      <c r="C109" t="s">
        <v>18</v>
      </c>
      <c r="D109" t="s">
        <v>23</v>
      </c>
      <c r="E109" t="s">
        <v>24</v>
      </c>
      <c r="F109" t="s">
        <v>27</v>
      </c>
      <c r="G109">
        <v>9</v>
      </c>
      <c r="H109">
        <v>319</v>
      </c>
      <c r="I109">
        <v>0.3</v>
      </c>
      <c r="J109">
        <v>2009.7</v>
      </c>
      <c r="K109">
        <v>457.32873809831722</v>
      </c>
      <c r="L109" t="s">
        <v>32</v>
      </c>
      <c r="M109" t="s">
        <v>34</v>
      </c>
    </row>
    <row r="110" spans="1:13" x14ac:dyDescent="0.2">
      <c r="A110">
        <v>1460</v>
      </c>
      <c r="B110" s="2">
        <v>44754</v>
      </c>
      <c r="C110" t="s">
        <v>19</v>
      </c>
      <c r="D110" t="s">
        <v>21</v>
      </c>
      <c r="E110" t="s">
        <v>24</v>
      </c>
      <c r="F110" t="s">
        <v>31</v>
      </c>
      <c r="G110">
        <v>8</v>
      </c>
      <c r="H110">
        <v>193</v>
      </c>
      <c r="I110">
        <v>0</v>
      </c>
      <c r="J110">
        <v>1544</v>
      </c>
      <c r="K110">
        <v>156.28417182217501</v>
      </c>
      <c r="L110" t="s">
        <v>32</v>
      </c>
      <c r="M110" t="s">
        <v>34</v>
      </c>
    </row>
    <row r="111" spans="1:13" x14ac:dyDescent="0.2">
      <c r="A111">
        <v>1098</v>
      </c>
      <c r="B111" s="2">
        <v>44728</v>
      </c>
      <c r="C111" t="s">
        <v>18</v>
      </c>
      <c r="D111" t="s">
        <v>23</v>
      </c>
      <c r="E111" t="s">
        <v>26</v>
      </c>
      <c r="F111" t="s">
        <v>27</v>
      </c>
      <c r="G111">
        <v>1</v>
      </c>
      <c r="H111">
        <v>329</v>
      </c>
      <c r="J111">
        <v>329</v>
      </c>
      <c r="K111">
        <v>22.015722766275129</v>
      </c>
      <c r="L111" t="s">
        <v>33</v>
      </c>
      <c r="M111" t="s">
        <v>36</v>
      </c>
    </row>
    <row r="112" spans="1:13" x14ac:dyDescent="0.2">
      <c r="A112">
        <v>1818</v>
      </c>
      <c r="B112" s="2">
        <v>44621</v>
      </c>
      <c r="C112" t="s">
        <v>14</v>
      </c>
      <c r="D112" t="s">
        <v>21</v>
      </c>
      <c r="E112" t="s">
        <v>25</v>
      </c>
      <c r="F112" t="s">
        <v>31</v>
      </c>
      <c r="G112">
        <v>6</v>
      </c>
      <c r="H112">
        <v>459</v>
      </c>
      <c r="I112">
        <v>0</v>
      </c>
      <c r="J112">
        <v>2754</v>
      </c>
      <c r="K112">
        <v>190.754625183987</v>
      </c>
      <c r="L112" t="s">
        <v>32</v>
      </c>
      <c r="M112" t="s">
        <v>35</v>
      </c>
    </row>
    <row r="113" spans="1:13" x14ac:dyDescent="0.2">
      <c r="A113">
        <v>1698</v>
      </c>
      <c r="B113" s="2">
        <v>44844</v>
      </c>
      <c r="C113" t="s">
        <v>19</v>
      </c>
      <c r="D113" t="s">
        <v>23</v>
      </c>
      <c r="E113" t="s">
        <v>26</v>
      </c>
      <c r="F113" t="s">
        <v>30</v>
      </c>
      <c r="G113">
        <v>8</v>
      </c>
      <c r="H113">
        <v>226</v>
      </c>
      <c r="I113">
        <v>0.1</v>
      </c>
      <c r="J113">
        <v>1627.2</v>
      </c>
      <c r="K113">
        <v>224.70612828080741</v>
      </c>
      <c r="L113" t="s">
        <v>32</v>
      </c>
      <c r="M113" t="s">
        <v>36</v>
      </c>
    </row>
    <row r="114" spans="1:13" x14ac:dyDescent="0.2">
      <c r="A114">
        <v>1288</v>
      </c>
      <c r="B114" s="2">
        <v>44709</v>
      </c>
      <c r="C114" t="s">
        <v>15</v>
      </c>
      <c r="D114" t="s">
        <v>21</v>
      </c>
      <c r="E114" t="s">
        <v>26</v>
      </c>
      <c r="F114" t="s">
        <v>27</v>
      </c>
      <c r="G114">
        <v>2</v>
      </c>
      <c r="H114">
        <v>30</v>
      </c>
      <c r="I114">
        <v>0.1</v>
      </c>
      <c r="J114">
        <v>54</v>
      </c>
      <c r="K114">
        <v>15.947510721712829</v>
      </c>
      <c r="L114" t="s">
        <v>32</v>
      </c>
      <c r="M114" t="s">
        <v>34</v>
      </c>
    </row>
    <row r="115" spans="1:13" x14ac:dyDescent="0.2">
      <c r="A115">
        <v>1742</v>
      </c>
      <c r="B115" s="2">
        <v>44758</v>
      </c>
      <c r="C115" t="s">
        <v>15</v>
      </c>
      <c r="D115" t="s">
        <v>21</v>
      </c>
      <c r="E115" t="s">
        <v>24</v>
      </c>
      <c r="F115" t="s">
        <v>28</v>
      </c>
      <c r="G115">
        <v>3</v>
      </c>
      <c r="H115">
        <v>394</v>
      </c>
      <c r="I115">
        <v>0.1</v>
      </c>
      <c r="J115">
        <v>1063.8</v>
      </c>
      <c r="K115">
        <v>116.6978524169204</v>
      </c>
      <c r="L115" t="s">
        <v>32</v>
      </c>
      <c r="M115" t="s">
        <v>34</v>
      </c>
    </row>
    <row r="116" spans="1:13" x14ac:dyDescent="0.2">
      <c r="A116">
        <v>1562</v>
      </c>
      <c r="B116" s="2">
        <v>44613</v>
      </c>
      <c r="C116" t="s">
        <v>13</v>
      </c>
      <c r="D116" t="s">
        <v>20</v>
      </c>
      <c r="E116" t="s">
        <v>24</v>
      </c>
      <c r="F116" t="s">
        <v>27</v>
      </c>
      <c r="G116">
        <v>1</v>
      </c>
      <c r="H116">
        <v>103</v>
      </c>
      <c r="J116">
        <v>103</v>
      </c>
      <c r="K116">
        <v>19.608228139957738</v>
      </c>
      <c r="L116" t="s">
        <v>32</v>
      </c>
      <c r="M116" t="s">
        <v>35</v>
      </c>
    </row>
    <row r="117" spans="1:13" x14ac:dyDescent="0.2">
      <c r="A117">
        <v>1258</v>
      </c>
      <c r="B117" s="2">
        <v>44808</v>
      </c>
      <c r="C117" t="s">
        <v>17</v>
      </c>
      <c r="D117" t="s">
        <v>20</v>
      </c>
      <c r="E117" t="s">
        <v>26</v>
      </c>
      <c r="F117" t="s">
        <v>30</v>
      </c>
      <c r="G117">
        <v>5</v>
      </c>
      <c r="H117">
        <v>44</v>
      </c>
      <c r="I117">
        <v>0.1</v>
      </c>
      <c r="J117">
        <v>198</v>
      </c>
      <c r="K117">
        <v>41.3162280260701</v>
      </c>
      <c r="L117" t="s">
        <v>33</v>
      </c>
      <c r="M117" t="s">
        <v>35</v>
      </c>
    </row>
    <row r="118" spans="1:13" x14ac:dyDescent="0.2">
      <c r="A118">
        <v>1556</v>
      </c>
      <c r="B118" s="2">
        <v>44781</v>
      </c>
      <c r="C118" t="s">
        <v>14</v>
      </c>
      <c r="D118" t="s">
        <v>23</v>
      </c>
      <c r="E118" t="s">
        <v>24</v>
      </c>
      <c r="F118" t="s">
        <v>31</v>
      </c>
      <c r="G118">
        <v>3</v>
      </c>
      <c r="H118">
        <v>103</v>
      </c>
      <c r="I118">
        <v>0.3</v>
      </c>
      <c r="J118">
        <v>216.3</v>
      </c>
      <c r="K118">
        <v>32.227103309222237</v>
      </c>
      <c r="L118" t="s">
        <v>33</v>
      </c>
      <c r="M118" t="s">
        <v>35</v>
      </c>
    </row>
    <row r="119" spans="1:13" x14ac:dyDescent="0.2">
      <c r="A119">
        <v>1112</v>
      </c>
      <c r="B119" s="2">
        <v>44845</v>
      </c>
      <c r="C119" t="s">
        <v>17</v>
      </c>
      <c r="D119" t="s">
        <v>21</v>
      </c>
      <c r="E119" t="s">
        <v>24</v>
      </c>
      <c r="F119" t="s">
        <v>30</v>
      </c>
      <c r="G119">
        <v>2</v>
      </c>
      <c r="H119">
        <v>372</v>
      </c>
      <c r="I119">
        <v>0.2</v>
      </c>
      <c r="J119">
        <v>595.20000000000005</v>
      </c>
      <c r="K119">
        <v>154.9673958990123</v>
      </c>
      <c r="L119" t="s">
        <v>32</v>
      </c>
      <c r="M119" t="s">
        <v>35</v>
      </c>
    </row>
    <row r="120" spans="1:13" x14ac:dyDescent="0.2">
      <c r="A120">
        <v>1129</v>
      </c>
      <c r="B120" s="2">
        <v>44857</v>
      </c>
      <c r="C120" t="s">
        <v>15</v>
      </c>
      <c r="D120" t="s">
        <v>22</v>
      </c>
      <c r="E120" t="s">
        <v>25</v>
      </c>
      <c r="F120" t="s">
        <v>30</v>
      </c>
      <c r="G120">
        <v>4</v>
      </c>
      <c r="H120">
        <v>23</v>
      </c>
      <c r="I120">
        <v>0</v>
      </c>
      <c r="J120">
        <v>92</v>
      </c>
      <c r="K120">
        <v>23.851945880587621</v>
      </c>
      <c r="L120" t="s">
        <v>32</v>
      </c>
      <c r="M120" t="s">
        <v>34</v>
      </c>
    </row>
    <row r="121" spans="1:13" x14ac:dyDescent="0.2">
      <c r="A121">
        <v>1735</v>
      </c>
      <c r="B121" s="2">
        <v>44852</v>
      </c>
      <c r="C121" t="s">
        <v>13</v>
      </c>
      <c r="D121" t="s">
        <v>22</v>
      </c>
      <c r="E121" t="s">
        <v>24</v>
      </c>
      <c r="F121" t="s">
        <v>30</v>
      </c>
      <c r="G121">
        <v>2</v>
      </c>
      <c r="H121">
        <v>461</v>
      </c>
      <c r="I121">
        <v>0.2</v>
      </c>
      <c r="J121">
        <v>737.6</v>
      </c>
      <c r="K121">
        <v>163.4387350689164</v>
      </c>
      <c r="L121" t="s">
        <v>32</v>
      </c>
      <c r="M121" t="s">
        <v>36</v>
      </c>
    </row>
    <row r="122" spans="1:13" x14ac:dyDescent="0.2">
      <c r="A122">
        <v>1729</v>
      </c>
      <c r="B122" s="2">
        <v>44860</v>
      </c>
      <c r="C122" t="s">
        <v>13</v>
      </c>
      <c r="D122" t="s">
        <v>20</v>
      </c>
      <c r="E122" t="s">
        <v>26</v>
      </c>
      <c r="F122" t="s">
        <v>30</v>
      </c>
      <c r="G122">
        <v>1</v>
      </c>
      <c r="H122">
        <v>401</v>
      </c>
      <c r="I122">
        <v>0.3</v>
      </c>
      <c r="J122">
        <v>280.7</v>
      </c>
      <c r="K122">
        <v>62.747016496052382</v>
      </c>
      <c r="L122" t="s">
        <v>32</v>
      </c>
      <c r="M122" t="s">
        <v>34</v>
      </c>
    </row>
    <row r="123" spans="1:13" x14ac:dyDescent="0.2">
      <c r="A123">
        <v>1771</v>
      </c>
      <c r="B123" s="2">
        <v>44656</v>
      </c>
      <c r="C123" t="s">
        <v>13</v>
      </c>
      <c r="D123" t="s">
        <v>20</v>
      </c>
      <c r="E123" t="s">
        <v>24</v>
      </c>
      <c r="F123" t="s">
        <v>27</v>
      </c>
      <c r="G123">
        <v>9</v>
      </c>
      <c r="H123">
        <v>112</v>
      </c>
      <c r="I123">
        <v>0.2</v>
      </c>
      <c r="J123">
        <v>806.40000000000009</v>
      </c>
      <c r="K123">
        <v>100.54307563549671</v>
      </c>
      <c r="L123" t="s">
        <v>32</v>
      </c>
      <c r="M123" t="s">
        <v>35</v>
      </c>
    </row>
    <row r="124" spans="1:13" x14ac:dyDescent="0.2">
      <c r="A124">
        <v>1032</v>
      </c>
      <c r="B124" s="2">
        <v>44721</v>
      </c>
      <c r="C124" t="s">
        <v>15</v>
      </c>
      <c r="D124" t="s">
        <v>22</v>
      </c>
      <c r="E124" t="s">
        <v>25</v>
      </c>
      <c r="F124" t="s">
        <v>29</v>
      </c>
      <c r="G124">
        <v>8</v>
      </c>
      <c r="H124">
        <v>420</v>
      </c>
      <c r="I124">
        <v>0.3</v>
      </c>
      <c r="J124">
        <v>2352</v>
      </c>
      <c r="K124">
        <v>265.16839686809521</v>
      </c>
      <c r="L124" t="s">
        <v>32</v>
      </c>
      <c r="M124" t="s">
        <v>35</v>
      </c>
    </row>
    <row r="125" spans="1:13" x14ac:dyDescent="0.2">
      <c r="A125">
        <v>1315</v>
      </c>
      <c r="B125" s="2">
        <v>44629</v>
      </c>
      <c r="C125" t="s">
        <v>16</v>
      </c>
      <c r="D125" t="s">
        <v>23</v>
      </c>
      <c r="E125" t="s">
        <v>25</v>
      </c>
      <c r="F125" t="s">
        <v>31</v>
      </c>
      <c r="G125">
        <v>3</v>
      </c>
      <c r="H125">
        <v>103</v>
      </c>
      <c r="I125">
        <v>0.3</v>
      </c>
      <c r="J125">
        <v>216.3</v>
      </c>
      <c r="K125">
        <v>18.788495381642299</v>
      </c>
      <c r="L125" t="s">
        <v>32</v>
      </c>
      <c r="M125" t="s">
        <v>34</v>
      </c>
    </row>
    <row r="126" spans="1:13" x14ac:dyDescent="0.2">
      <c r="A126">
        <v>1637</v>
      </c>
      <c r="B126" s="2">
        <v>44856</v>
      </c>
      <c r="C126" t="s">
        <v>14</v>
      </c>
      <c r="D126" t="s">
        <v>22</v>
      </c>
      <c r="E126" t="s">
        <v>25</v>
      </c>
      <c r="F126" t="s">
        <v>27</v>
      </c>
      <c r="G126">
        <v>4</v>
      </c>
      <c r="H126">
        <v>312</v>
      </c>
      <c r="J126">
        <v>1248</v>
      </c>
      <c r="K126">
        <v>133.28002179133671</v>
      </c>
      <c r="L126" t="s">
        <v>32</v>
      </c>
      <c r="M126" t="s">
        <v>34</v>
      </c>
    </row>
    <row r="127" spans="1:13" x14ac:dyDescent="0.2">
      <c r="A127">
        <v>1345</v>
      </c>
      <c r="B127" s="2">
        <v>44633</v>
      </c>
      <c r="C127" t="s">
        <v>14</v>
      </c>
      <c r="D127" t="s">
        <v>22</v>
      </c>
      <c r="E127" t="s">
        <v>26</v>
      </c>
      <c r="F127" t="s">
        <v>31</v>
      </c>
      <c r="G127">
        <v>9</v>
      </c>
      <c r="H127">
        <v>472</v>
      </c>
      <c r="J127">
        <v>4248</v>
      </c>
      <c r="K127">
        <v>446.68989377930637</v>
      </c>
      <c r="L127" t="s">
        <v>32</v>
      </c>
      <c r="M127" t="s">
        <v>35</v>
      </c>
    </row>
    <row r="128" spans="1:13" x14ac:dyDescent="0.2">
      <c r="A128">
        <v>1112</v>
      </c>
      <c r="B128" s="2">
        <v>44839</v>
      </c>
      <c r="C128" t="s">
        <v>14</v>
      </c>
      <c r="D128" t="s">
        <v>21</v>
      </c>
      <c r="E128" t="s">
        <v>26</v>
      </c>
      <c r="F128" t="s">
        <v>30</v>
      </c>
      <c r="G128">
        <v>7</v>
      </c>
      <c r="H128">
        <v>54</v>
      </c>
      <c r="I128">
        <v>0.2</v>
      </c>
      <c r="J128">
        <v>302.39999999999998</v>
      </c>
      <c r="K128">
        <v>41.424370715611801</v>
      </c>
      <c r="L128" t="s">
        <v>32</v>
      </c>
      <c r="M128" t="s">
        <v>35</v>
      </c>
    </row>
    <row r="129" spans="1:13" x14ac:dyDescent="0.2">
      <c r="A129">
        <v>1366</v>
      </c>
      <c r="B129" s="2">
        <v>44638</v>
      </c>
      <c r="C129" t="s">
        <v>13</v>
      </c>
      <c r="D129" t="s">
        <v>20</v>
      </c>
      <c r="E129" t="s">
        <v>24</v>
      </c>
      <c r="F129" t="s">
        <v>29</v>
      </c>
      <c r="G129">
        <v>8</v>
      </c>
      <c r="H129">
        <v>441</v>
      </c>
      <c r="I129">
        <v>0</v>
      </c>
      <c r="J129">
        <v>3528</v>
      </c>
      <c r="K129">
        <v>743.1425059900389</v>
      </c>
      <c r="L129" t="s">
        <v>32</v>
      </c>
      <c r="M129" t="s">
        <v>35</v>
      </c>
    </row>
    <row r="130" spans="1:13" x14ac:dyDescent="0.2">
      <c r="A130">
        <v>1267</v>
      </c>
      <c r="B130" s="2">
        <v>44834</v>
      </c>
      <c r="C130" t="s">
        <v>18</v>
      </c>
      <c r="D130" t="s">
        <v>21</v>
      </c>
      <c r="E130" t="s">
        <v>24</v>
      </c>
      <c r="F130" t="s">
        <v>31</v>
      </c>
      <c r="G130">
        <v>5</v>
      </c>
      <c r="H130">
        <v>78</v>
      </c>
      <c r="I130">
        <v>0.1</v>
      </c>
      <c r="J130">
        <v>351</v>
      </c>
      <c r="K130">
        <v>80.029230284026013</v>
      </c>
      <c r="L130" t="s">
        <v>32</v>
      </c>
      <c r="M130" t="s">
        <v>36</v>
      </c>
    </row>
    <row r="131" spans="1:13" x14ac:dyDescent="0.2">
      <c r="A131">
        <v>1996</v>
      </c>
      <c r="B131" s="2">
        <v>44851</v>
      </c>
      <c r="C131" t="s">
        <v>16</v>
      </c>
      <c r="D131" t="s">
        <v>20</v>
      </c>
      <c r="E131" t="s">
        <v>24</v>
      </c>
      <c r="F131" t="s">
        <v>28</v>
      </c>
      <c r="G131">
        <v>9</v>
      </c>
      <c r="H131">
        <v>178</v>
      </c>
      <c r="I131">
        <v>0</v>
      </c>
      <c r="J131">
        <v>1602</v>
      </c>
      <c r="K131">
        <v>210.30415818039549</v>
      </c>
      <c r="L131" t="s">
        <v>32</v>
      </c>
      <c r="M131" t="s">
        <v>35</v>
      </c>
    </row>
    <row r="132" spans="1:13" x14ac:dyDescent="0.2">
      <c r="A132">
        <v>1766</v>
      </c>
      <c r="B132" s="2">
        <v>44744</v>
      </c>
      <c r="C132" t="s">
        <v>16</v>
      </c>
      <c r="D132" t="s">
        <v>20</v>
      </c>
      <c r="E132" t="s">
        <v>26</v>
      </c>
      <c r="F132" t="s">
        <v>28</v>
      </c>
      <c r="G132">
        <v>5</v>
      </c>
      <c r="H132">
        <v>436</v>
      </c>
      <c r="I132">
        <v>0</v>
      </c>
      <c r="J132">
        <v>2180</v>
      </c>
      <c r="K132">
        <v>548.48997139189748</v>
      </c>
      <c r="L132" t="s">
        <v>33</v>
      </c>
      <c r="M132" t="s">
        <v>35</v>
      </c>
    </row>
    <row r="133" spans="1:13" x14ac:dyDescent="0.2">
      <c r="A133">
        <v>1491</v>
      </c>
      <c r="B133" s="2">
        <v>44586</v>
      </c>
      <c r="C133" t="s">
        <v>13</v>
      </c>
      <c r="D133" t="s">
        <v>23</v>
      </c>
      <c r="E133" t="s">
        <v>25</v>
      </c>
      <c r="F133" t="s">
        <v>30</v>
      </c>
      <c r="G133">
        <v>1</v>
      </c>
      <c r="H133">
        <v>153</v>
      </c>
      <c r="I133">
        <v>0.2</v>
      </c>
      <c r="J133">
        <v>122.4</v>
      </c>
      <c r="K133">
        <v>28.939453751575709</v>
      </c>
      <c r="L133" t="s">
        <v>33</v>
      </c>
      <c r="M133" t="s">
        <v>35</v>
      </c>
    </row>
    <row r="134" spans="1:13" x14ac:dyDescent="0.2">
      <c r="A134">
        <v>1413</v>
      </c>
      <c r="B134" s="2">
        <v>44587</v>
      </c>
      <c r="C134" t="s">
        <v>16</v>
      </c>
      <c r="D134" t="s">
        <v>20</v>
      </c>
      <c r="E134" t="s">
        <v>26</v>
      </c>
      <c r="F134" t="s">
        <v>29</v>
      </c>
      <c r="G134">
        <v>5</v>
      </c>
      <c r="H134">
        <v>386</v>
      </c>
      <c r="I134">
        <v>0.1</v>
      </c>
      <c r="J134">
        <v>1737</v>
      </c>
      <c r="K134">
        <v>174.77718325175431</v>
      </c>
      <c r="L134" t="s">
        <v>32</v>
      </c>
      <c r="M134" t="s">
        <v>34</v>
      </c>
    </row>
    <row r="135" spans="1:13" x14ac:dyDescent="0.2">
      <c r="A135">
        <v>1269</v>
      </c>
      <c r="B135" s="2">
        <v>44667</v>
      </c>
      <c r="C135" t="s">
        <v>13</v>
      </c>
      <c r="D135" t="s">
        <v>20</v>
      </c>
      <c r="E135" t="s">
        <v>24</v>
      </c>
      <c r="F135" t="s">
        <v>31</v>
      </c>
      <c r="G135">
        <v>6</v>
      </c>
      <c r="H135">
        <v>447</v>
      </c>
      <c r="I135">
        <v>0.2</v>
      </c>
      <c r="J135">
        <v>2145.6</v>
      </c>
      <c r="K135">
        <v>150.51465197932171</v>
      </c>
      <c r="L135" t="s">
        <v>32</v>
      </c>
      <c r="M135" t="s">
        <v>36</v>
      </c>
    </row>
    <row r="136" spans="1:13" x14ac:dyDescent="0.2">
      <c r="A136">
        <v>1288</v>
      </c>
      <c r="B136" s="2">
        <v>44709</v>
      </c>
      <c r="C136" t="s">
        <v>15</v>
      </c>
      <c r="D136" t="s">
        <v>21</v>
      </c>
      <c r="E136" t="s">
        <v>26</v>
      </c>
      <c r="F136" t="s">
        <v>27</v>
      </c>
      <c r="G136">
        <v>2</v>
      </c>
      <c r="H136">
        <v>30</v>
      </c>
      <c r="I136">
        <v>0.1</v>
      </c>
      <c r="J136">
        <v>54</v>
      </c>
      <c r="K136">
        <v>15.947510721712829</v>
      </c>
      <c r="L136" t="s">
        <v>32</v>
      </c>
      <c r="M136" t="s">
        <v>36</v>
      </c>
    </row>
    <row r="137" spans="1:13" x14ac:dyDescent="0.2">
      <c r="A137">
        <v>1134</v>
      </c>
      <c r="B137" s="2">
        <v>44716</v>
      </c>
      <c r="C137" t="s">
        <v>13</v>
      </c>
      <c r="D137" t="s">
        <v>22</v>
      </c>
      <c r="E137" t="s">
        <v>24</v>
      </c>
      <c r="F137" t="s">
        <v>28</v>
      </c>
      <c r="G137">
        <v>7</v>
      </c>
      <c r="H137">
        <v>286</v>
      </c>
      <c r="I137">
        <v>0</v>
      </c>
      <c r="J137">
        <v>2002</v>
      </c>
      <c r="K137">
        <v>404.66789998458148</v>
      </c>
      <c r="L137" t="s">
        <v>32</v>
      </c>
      <c r="M137" t="s">
        <v>35</v>
      </c>
    </row>
    <row r="138" spans="1:13" x14ac:dyDescent="0.2">
      <c r="A138">
        <v>1863</v>
      </c>
      <c r="B138" s="2">
        <v>44757</v>
      </c>
      <c r="C138" t="s">
        <v>17</v>
      </c>
      <c r="D138" t="s">
        <v>23</v>
      </c>
      <c r="E138" t="s">
        <v>26</v>
      </c>
      <c r="F138" t="s">
        <v>31</v>
      </c>
      <c r="G138">
        <v>5</v>
      </c>
      <c r="H138">
        <v>125</v>
      </c>
      <c r="I138">
        <v>0.1</v>
      </c>
      <c r="J138">
        <v>562.5</v>
      </c>
      <c r="K138">
        <v>150.5500910220947</v>
      </c>
      <c r="L138" t="s">
        <v>32</v>
      </c>
      <c r="M138" t="s">
        <v>34</v>
      </c>
    </row>
    <row r="139" spans="1:13" x14ac:dyDescent="0.2">
      <c r="A139">
        <v>1308</v>
      </c>
      <c r="B139" s="2">
        <v>44583</v>
      </c>
      <c r="C139" t="s">
        <v>19</v>
      </c>
      <c r="D139" t="s">
        <v>20</v>
      </c>
      <c r="E139" t="s">
        <v>26</v>
      </c>
      <c r="F139" t="s">
        <v>28</v>
      </c>
      <c r="G139">
        <v>9</v>
      </c>
      <c r="H139">
        <v>48</v>
      </c>
      <c r="I139">
        <v>0.1</v>
      </c>
      <c r="J139">
        <v>388.8</v>
      </c>
      <c r="K139">
        <v>19.948318436371121</v>
      </c>
      <c r="L139" t="s">
        <v>32</v>
      </c>
      <c r="M139" t="s">
        <v>35</v>
      </c>
    </row>
    <row r="140" spans="1:13" x14ac:dyDescent="0.2">
      <c r="A140">
        <v>1339</v>
      </c>
      <c r="B140" s="2">
        <v>44789</v>
      </c>
      <c r="C140" t="s">
        <v>17</v>
      </c>
      <c r="D140" t="s">
        <v>20</v>
      </c>
      <c r="E140" t="s">
        <v>25</v>
      </c>
      <c r="F140" t="s">
        <v>28</v>
      </c>
      <c r="G140">
        <v>9</v>
      </c>
      <c r="H140">
        <v>227</v>
      </c>
      <c r="J140">
        <v>2043</v>
      </c>
      <c r="K140">
        <v>564.96266737161511</v>
      </c>
      <c r="L140" t="s">
        <v>32</v>
      </c>
      <c r="M140" t="s">
        <v>36</v>
      </c>
    </row>
    <row r="141" spans="1:13" x14ac:dyDescent="0.2">
      <c r="A141">
        <v>1160</v>
      </c>
      <c r="B141" s="2">
        <v>44593</v>
      </c>
      <c r="C141" t="s">
        <v>16</v>
      </c>
      <c r="D141" t="s">
        <v>20</v>
      </c>
      <c r="E141" t="s">
        <v>26</v>
      </c>
      <c r="F141" t="s">
        <v>28</v>
      </c>
      <c r="G141">
        <v>5</v>
      </c>
      <c r="H141">
        <v>490</v>
      </c>
      <c r="J141">
        <v>2450</v>
      </c>
      <c r="K141">
        <v>659.44859161977286</v>
      </c>
      <c r="L141" t="s">
        <v>32</v>
      </c>
      <c r="M141" t="s">
        <v>35</v>
      </c>
    </row>
    <row r="142" spans="1:13" x14ac:dyDescent="0.2">
      <c r="A142">
        <v>1779</v>
      </c>
      <c r="B142" s="2">
        <v>44719</v>
      </c>
      <c r="C142" t="s">
        <v>19</v>
      </c>
      <c r="D142" t="s">
        <v>22</v>
      </c>
      <c r="E142" t="s">
        <v>25</v>
      </c>
      <c r="F142" t="s">
        <v>28</v>
      </c>
      <c r="G142">
        <v>5</v>
      </c>
      <c r="H142">
        <v>107</v>
      </c>
      <c r="I142">
        <v>0</v>
      </c>
      <c r="J142">
        <v>535</v>
      </c>
      <c r="K142">
        <v>46.979263343297497</v>
      </c>
      <c r="L142" t="s">
        <v>32</v>
      </c>
      <c r="M142" t="s">
        <v>35</v>
      </c>
    </row>
    <row r="143" spans="1:13" x14ac:dyDescent="0.2">
      <c r="A143">
        <v>1795</v>
      </c>
      <c r="B143" s="2">
        <v>44778</v>
      </c>
      <c r="C143" t="s">
        <v>17</v>
      </c>
      <c r="D143" t="s">
        <v>21</v>
      </c>
      <c r="E143" t="s">
        <v>24</v>
      </c>
      <c r="F143" t="s">
        <v>28</v>
      </c>
      <c r="G143">
        <v>1</v>
      </c>
      <c r="H143">
        <v>197</v>
      </c>
      <c r="J143">
        <v>197</v>
      </c>
      <c r="K143">
        <v>38.296473269647009</v>
      </c>
      <c r="L143" t="s">
        <v>32</v>
      </c>
      <c r="M143" t="s">
        <v>36</v>
      </c>
    </row>
    <row r="144" spans="1:13" x14ac:dyDescent="0.2">
      <c r="A144">
        <v>1641</v>
      </c>
      <c r="B144" s="2">
        <v>44847</v>
      </c>
      <c r="C144" t="s">
        <v>19</v>
      </c>
      <c r="D144" t="s">
        <v>22</v>
      </c>
      <c r="E144" t="s">
        <v>25</v>
      </c>
      <c r="F144" t="s">
        <v>27</v>
      </c>
      <c r="G144">
        <v>3</v>
      </c>
      <c r="H144">
        <v>351</v>
      </c>
      <c r="I144">
        <v>0.1</v>
      </c>
      <c r="J144">
        <v>947.7</v>
      </c>
      <c r="K144">
        <v>279.35943743924048</v>
      </c>
      <c r="L144" t="s">
        <v>32</v>
      </c>
      <c r="M144" t="s">
        <v>35</v>
      </c>
    </row>
    <row r="145" spans="1:13" x14ac:dyDescent="0.2">
      <c r="A145">
        <v>1064</v>
      </c>
      <c r="B145" s="2">
        <v>44694</v>
      </c>
      <c r="C145" t="s">
        <v>16</v>
      </c>
      <c r="D145" t="s">
        <v>20</v>
      </c>
      <c r="E145" t="s">
        <v>24</v>
      </c>
      <c r="F145" t="s">
        <v>31</v>
      </c>
      <c r="G145">
        <v>3</v>
      </c>
      <c r="H145">
        <v>91</v>
      </c>
      <c r="I145">
        <v>0</v>
      </c>
      <c r="J145">
        <v>273</v>
      </c>
      <c r="K145">
        <v>75.514356190756047</v>
      </c>
      <c r="L145" t="s">
        <v>32</v>
      </c>
      <c r="M145" t="s">
        <v>35</v>
      </c>
    </row>
    <row r="146" spans="1:13" x14ac:dyDescent="0.2">
      <c r="A146">
        <v>1358</v>
      </c>
      <c r="B146" s="2">
        <v>44809</v>
      </c>
      <c r="C146" t="s">
        <v>13</v>
      </c>
      <c r="D146" t="s">
        <v>20</v>
      </c>
      <c r="E146" t="s">
        <v>25</v>
      </c>
      <c r="F146" t="s">
        <v>29</v>
      </c>
      <c r="G146">
        <v>1</v>
      </c>
      <c r="H146">
        <v>320</v>
      </c>
      <c r="J146">
        <v>320</v>
      </c>
      <c r="K146">
        <v>29.2763916236628</v>
      </c>
      <c r="L146" t="s">
        <v>32</v>
      </c>
      <c r="M146" t="s">
        <v>36</v>
      </c>
    </row>
    <row r="147" spans="1:13" x14ac:dyDescent="0.2">
      <c r="A147">
        <v>1384</v>
      </c>
      <c r="B147" s="2">
        <v>44800</v>
      </c>
      <c r="C147" t="s">
        <v>17</v>
      </c>
      <c r="D147" t="s">
        <v>22</v>
      </c>
      <c r="E147" t="s">
        <v>25</v>
      </c>
      <c r="F147" t="s">
        <v>31</v>
      </c>
      <c r="G147">
        <v>2</v>
      </c>
      <c r="H147">
        <v>381</v>
      </c>
      <c r="I147">
        <v>0.1</v>
      </c>
      <c r="J147">
        <v>685.80000000000007</v>
      </c>
      <c r="K147">
        <v>48.599917371429783</v>
      </c>
      <c r="L147" t="s">
        <v>32</v>
      </c>
      <c r="M147" t="s">
        <v>36</v>
      </c>
    </row>
    <row r="148" spans="1:13" x14ac:dyDescent="0.2">
      <c r="A148">
        <v>1857</v>
      </c>
      <c r="B148" s="2">
        <v>44751</v>
      </c>
      <c r="C148" t="s">
        <v>16</v>
      </c>
      <c r="D148" t="s">
        <v>20</v>
      </c>
      <c r="E148" t="s">
        <v>24</v>
      </c>
      <c r="F148" t="s">
        <v>31</v>
      </c>
      <c r="G148">
        <v>7</v>
      </c>
      <c r="H148">
        <v>185</v>
      </c>
      <c r="I148">
        <v>0.2</v>
      </c>
      <c r="J148">
        <v>1036</v>
      </c>
      <c r="K148">
        <v>137.32570180171791</v>
      </c>
      <c r="L148" t="s">
        <v>32</v>
      </c>
      <c r="M148" t="s">
        <v>34</v>
      </c>
    </row>
    <row r="149" spans="1:13" x14ac:dyDescent="0.2">
      <c r="A149">
        <v>1392</v>
      </c>
      <c r="B149" s="2">
        <v>44748</v>
      </c>
      <c r="C149" t="s">
        <v>18</v>
      </c>
      <c r="D149" t="s">
        <v>21</v>
      </c>
      <c r="E149" t="s">
        <v>26</v>
      </c>
      <c r="F149" t="s">
        <v>30</v>
      </c>
      <c r="G149">
        <v>8</v>
      </c>
      <c r="H149">
        <v>425</v>
      </c>
      <c r="I149">
        <v>0.3</v>
      </c>
      <c r="J149">
        <v>2380</v>
      </c>
      <c r="K149">
        <v>238.81145037090479</v>
      </c>
      <c r="L149" t="s">
        <v>32</v>
      </c>
      <c r="M149" t="s">
        <v>35</v>
      </c>
    </row>
    <row r="150" spans="1:13" x14ac:dyDescent="0.2">
      <c r="A150">
        <v>1270</v>
      </c>
      <c r="B150" s="2">
        <v>44565</v>
      </c>
      <c r="C150" t="s">
        <v>17</v>
      </c>
      <c r="D150" t="s">
        <v>20</v>
      </c>
      <c r="E150" t="s">
        <v>25</v>
      </c>
      <c r="F150" t="s">
        <v>31</v>
      </c>
      <c r="G150">
        <v>3</v>
      </c>
      <c r="H150">
        <v>212</v>
      </c>
      <c r="I150">
        <v>0.2</v>
      </c>
      <c r="J150">
        <v>508.8</v>
      </c>
      <c r="K150">
        <v>122.2546595118897</v>
      </c>
      <c r="L150" t="s">
        <v>32</v>
      </c>
      <c r="M150" t="s">
        <v>36</v>
      </c>
    </row>
    <row r="151" spans="1:13" x14ac:dyDescent="0.2">
      <c r="A151">
        <v>1216</v>
      </c>
      <c r="B151" s="2">
        <v>44685</v>
      </c>
      <c r="C151" t="s">
        <v>15</v>
      </c>
      <c r="D151" t="s">
        <v>21</v>
      </c>
      <c r="E151" t="s">
        <v>24</v>
      </c>
      <c r="F151" t="s">
        <v>29</v>
      </c>
      <c r="G151">
        <v>7</v>
      </c>
      <c r="H151">
        <v>28</v>
      </c>
      <c r="J151">
        <v>196</v>
      </c>
      <c r="K151">
        <v>22.027763792625802</v>
      </c>
      <c r="L151" t="s">
        <v>32</v>
      </c>
      <c r="M151" t="s">
        <v>36</v>
      </c>
    </row>
    <row r="152" spans="1:13" x14ac:dyDescent="0.2">
      <c r="A152">
        <v>1742</v>
      </c>
      <c r="B152" s="2">
        <v>44758</v>
      </c>
      <c r="C152" t="s">
        <v>15</v>
      </c>
      <c r="D152" t="s">
        <v>21</v>
      </c>
      <c r="E152" t="s">
        <v>24</v>
      </c>
      <c r="F152" t="s">
        <v>28</v>
      </c>
      <c r="G152">
        <v>3</v>
      </c>
      <c r="H152">
        <v>394</v>
      </c>
      <c r="I152">
        <v>0.1</v>
      </c>
      <c r="J152">
        <v>1063.8</v>
      </c>
      <c r="K152">
        <v>116.6978524169204</v>
      </c>
      <c r="L152" t="s">
        <v>32</v>
      </c>
      <c r="M152" t="s">
        <v>36</v>
      </c>
    </row>
    <row r="153" spans="1:13" x14ac:dyDescent="0.2">
      <c r="A153">
        <v>1702</v>
      </c>
      <c r="B153" s="2">
        <v>44659</v>
      </c>
      <c r="C153" t="s">
        <v>15</v>
      </c>
      <c r="D153" t="s">
        <v>21</v>
      </c>
      <c r="E153" t="s">
        <v>24</v>
      </c>
      <c r="F153" t="s">
        <v>27</v>
      </c>
      <c r="G153">
        <v>8</v>
      </c>
      <c r="H153">
        <v>98</v>
      </c>
      <c r="I153">
        <v>0</v>
      </c>
      <c r="J153">
        <v>784</v>
      </c>
      <c r="K153">
        <v>123.4127352968313</v>
      </c>
      <c r="L153" t="s">
        <v>32</v>
      </c>
      <c r="M153" t="s">
        <v>36</v>
      </c>
    </row>
    <row r="154" spans="1:13" x14ac:dyDescent="0.2">
      <c r="A154">
        <v>1004</v>
      </c>
      <c r="B154" s="2">
        <v>44741</v>
      </c>
      <c r="C154" t="s">
        <v>15</v>
      </c>
      <c r="D154" t="s">
        <v>22</v>
      </c>
      <c r="E154" t="s">
        <v>24</v>
      </c>
      <c r="F154" t="s">
        <v>28</v>
      </c>
      <c r="G154">
        <v>8</v>
      </c>
      <c r="H154">
        <v>252</v>
      </c>
      <c r="I154">
        <v>0.3</v>
      </c>
      <c r="J154">
        <v>1411.2</v>
      </c>
      <c r="K154">
        <v>262.98836352675619</v>
      </c>
      <c r="L154" t="s">
        <v>32</v>
      </c>
      <c r="M154" t="s">
        <v>34</v>
      </c>
    </row>
    <row r="155" spans="1:13" x14ac:dyDescent="0.2">
      <c r="A155">
        <v>1812</v>
      </c>
      <c r="B155" s="2">
        <v>44693</v>
      </c>
      <c r="C155" t="s">
        <v>13</v>
      </c>
      <c r="D155" t="s">
        <v>21</v>
      </c>
      <c r="E155" t="s">
        <v>25</v>
      </c>
      <c r="F155" t="s">
        <v>31</v>
      </c>
      <c r="G155">
        <v>8</v>
      </c>
      <c r="H155">
        <v>363</v>
      </c>
      <c r="I155">
        <v>0.1</v>
      </c>
      <c r="J155">
        <v>2613.6</v>
      </c>
      <c r="K155">
        <v>171.61760313772871</v>
      </c>
      <c r="L155" t="s">
        <v>33</v>
      </c>
      <c r="M155" t="s">
        <v>36</v>
      </c>
    </row>
    <row r="156" spans="1:13" x14ac:dyDescent="0.2">
      <c r="A156">
        <v>1484</v>
      </c>
      <c r="B156" s="2">
        <v>44620</v>
      </c>
      <c r="C156" t="s">
        <v>15</v>
      </c>
      <c r="D156" t="s">
        <v>22</v>
      </c>
      <c r="E156" t="s">
        <v>26</v>
      </c>
      <c r="F156" t="s">
        <v>31</v>
      </c>
      <c r="G156">
        <v>8</v>
      </c>
      <c r="H156">
        <v>255</v>
      </c>
      <c r="I156">
        <v>0.3</v>
      </c>
      <c r="J156">
        <v>1428</v>
      </c>
      <c r="K156">
        <v>249.27727856805291</v>
      </c>
      <c r="L156" t="s">
        <v>32</v>
      </c>
      <c r="M156" t="s">
        <v>35</v>
      </c>
    </row>
    <row r="157" spans="1:13" x14ac:dyDescent="0.2">
      <c r="A157">
        <v>1699</v>
      </c>
      <c r="B157" s="2">
        <v>44606</v>
      </c>
      <c r="C157" t="s">
        <v>18</v>
      </c>
      <c r="D157" t="s">
        <v>23</v>
      </c>
      <c r="E157" t="s">
        <v>25</v>
      </c>
      <c r="F157" t="s">
        <v>28</v>
      </c>
      <c r="G157">
        <v>3</v>
      </c>
      <c r="H157">
        <v>176</v>
      </c>
      <c r="I157">
        <v>0.1</v>
      </c>
      <c r="J157">
        <v>475.2</v>
      </c>
      <c r="K157">
        <v>118.11064295571759</v>
      </c>
      <c r="L157" t="s">
        <v>32</v>
      </c>
      <c r="M157" t="s">
        <v>36</v>
      </c>
    </row>
    <row r="158" spans="1:13" x14ac:dyDescent="0.2">
      <c r="A158">
        <v>1957</v>
      </c>
      <c r="B158" s="2">
        <v>44791</v>
      </c>
      <c r="C158" t="s">
        <v>16</v>
      </c>
      <c r="D158" t="s">
        <v>22</v>
      </c>
      <c r="E158" t="s">
        <v>25</v>
      </c>
      <c r="F158" t="s">
        <v>30</v>
      </c>
      <c r="G158">
        <v>3</v>
      </c>
      <c r="H158">
        <v>409</v>
      </c>
      <c r="J158">
        <v>1227</v>
      </c>
      <c r="K158">
        <v>363.0452117553944</v>
      </c>
      <c r="L158" t="s">
        <v>33</v>
      </c>
      <c r="M158" t="s">
        <v>36</v>
      </c>
    </row>
    <row r="159" spans="1:13" x14ac:dyDescent="0.2">
      <c r="A159">
        <v>1700</v>
      </c>
      <c r="B159" s="2">
        <v>44568</v>
      </c>
      <c r="C159" t="s">
        <v>15</v>
      </c>
      <c r="D159" t="s">
        <v>21</v>
      </c>
      <c r="E159" t="s">
        <v>26</v>
      </c>
      <c r="F159" t="s">
        <v>31</v>
      </c>
      <c r="G159">
        <v>8</v>
      </c>
      <c r="H159">
        <v>139</v>
      </c>
      <c r="I159">
        <v>0.1</v>
      </c>
      <c r="J159">
        <v>1000.8</v>
      </c>
      <c r="K159">
        <v>52.374771280738749</v>
      </c>
      <c r="L159" t="s">
        <v>32</v>
      </c>
      <c r="M159" t="s">
        <v>34</v>
      </c>
    </row>
    <row r="160" spans="1:13" x14ac:dyDescent="0.2">
      <c r="A160">
        <v>1957</v>
      </c>
      <c r="B160" s="2">
        <v>44612</v>
      </c>
      <c r="C160" t="s">
        <v>17</v>
      </c>
      <c r="D160" t="s">
        <v>23</v>
      </c>
      <c r="E160" t="s">
        <v>26</v>
      </c>
      <c r="F160" t="s">
        <v>27</v>
      </c>
      <c r="G160">
        <v>4</v>
      </c>
      <c r="H160">
        <v>481</v>
      </c>
      <c r="I160">
        <v>0.3</v>
      </c>
      <c r="J160">
        <v>1346.8</v>
      </c>
      <c r="K160">
        <v>262.62054122705177</v>
      </c>
      <c r="L160" t="s">
        <v>32</v>
      </c>
      <c r="M160" t="s">
        <v>35</v>
      </c>
    </row>
    <row r="161" spans="1:13" x14ac:dyDescent="0.2">
      <c r="A161">
        <v>1565</v>
      </c>
      <c r="B161" s="2">
        <v>44849</v>
      </c>
      <c r="C161" t="s">
        <v>19</v>
      </c>
      <c r="D161" t="s">
        <v>23</v>
      </c>
      <c r="E161" t="s">
        <v>25</v>
      </c>
      <c r="F161" t="s">
        <v>29</v>
      </c>
      <c r="G161">
        <v>3</v>
      </c>
      <c r="H161">
        <v>369</v>
      </c>
      <c r="I161">
        <v>0.1</v>
      </c>
      <c r="J161">
        <v>996.30000000000007</v>
      </c>
      <c r="K161">
        <v>81.264390505178525</v>
      </c>
      <c r="L161" t="s">
        <v>32</v>
      </c>
      <c r="M161" t="s">
        <v>34</v>
      </c>
    </row>
    <row r="162" spans="1:13" x14ac:dyDescent="0.2">
      <c r="A162">
        <v>1957</v>
      </c>
      <c r="B162" s="2">
        <v>44791</v>
      </c>
      <c r="C162" t="s">
        <v>16</v>
      </c>
      <c r="D162" t="s">
        <v>22</v>
      </c>
      <c r="E162" t="s">
        <v>25</v>
      </c>
      <c r="F162" t="s">
        <v>30</v>
      </c>
      <c r="G162">
        <v>3</v>
      </c>
      <c r="H162">
        <v>409</v>
      </c>
      <c r="J162">
        <v>1227</v>
      </c>
      <c r="K162">
        <v>363.0452117553944</v>
      </c>
      <c r="L162" t="s">
        <v>33</v>
      </c>
      <c r="M162" t="s">
        <v>36</v>
      </c>
    </row>
    <row r="163" spans="1:13" x14ac:dyDescent="0.2">
      <c r="A163">
        <v>1719</v>
      </c>
      <c r="B163" s="2">
        <v>44678</v>
      </c>
      <c r="C163" t="s">
        <v>16</v>
      </c>
      <c r="D163" t="s">
        <v>21</v>
      </c>
      <c r="E163" t="s">
        <v>24</v>
      </c>
      <c r="F163" t="s">
        <v>29</v>
      </c>
      <c r="G163">
        <v>7</v>
      </c>
      <c r="H163">
        <v>225</v>
      </c>
      <c r="I163">
        <v>0.3</v>
      </c>
      <c r="J163">
        <v>1102.5</v>
      </c>
      <c r="K163">
        <v>318.79190493612811</v>
      </c>
      <c r="L163" t="s">
        <v>33</v>
      </c>
      <c r="M163" t="s">
        <v>35</v>
      </c>
    </row>
    <row r="164" spans="1:13" x14ac:dyDescent="0.2">
      <c r="A164">
        <v>1681</v>
      </c>
      <c r="B164" s="2">
        <v>44604</v>
      </c>
      <c r="C164" t="s">
        <v>15</v>
      </c>
      <c r="D164" t="s">
        <v>20</v>
      </c>
      <c r="E164" t="s">
        <v>26</v>
      </c>
      <c r="F164" t="s">
        <v>29</v>
      </c>
      <c r="G164">
        <v>6</v>
      </c>
      <c r="H164">
        <v>394</v>
      </c>
      <c r="I164">
        <v>0</v>
      </c>
      <c r="J164">
        <v>2364</v>
      </c>
      <c r="K164">
        <v>484.37729843876582</v>
      </c>
      <c r="L164" t="s">
        <v>32</v>
      </c>
      <c r="M164" t="s">
        <v>36</v>
      </c>
    </row>
    <row r="165" spans="1:13" x14ac:dyDescent="0.2">
      <c r="A165">
        <v>1690</v>
      </c>
      <c r="B165" s="2">
        <v>44755</v>
      </c>
      <c r="C165" t="s">
        <v>13</v>
      </c>
      <c r="D165" t="s">
        <v>20</v>
      </c>
      <c r="E165" t="s">
        <v>26</v>
      </c>
      <c r="F165" t="s">
        <v>27</v>
      </c>
      <c r="G165">
        <v>4</v>
      </c>
      <c r="H165">
        <v>141</v>
      </c>
      <c r="I165">
        <v>0.2</v>
      </c>
      <c r="J165">
        <v>451.2</v>
      </c>
      <c r="K165">
        <v>121.5792328155502</v>
      </c>
      <c r="L165" t="s">
        <v>32</v>
      </c>
      <c r="M165" t="s">
        <v>36</v>
      </c>
    </row>
    <row r="166" spans="1:13" x14ac:dyDescent="0.2">
      <c r="A166">
        <v>1574</v>
      </c>
      <c r="B166" s="2">
        <v>44756</v>
      </c>
      <c r="C166" t="s">
        <v>18</v>
      </c>
      <c r="D166" t="s">
        <v>20</v>
      </c>
      <c r="E166" t="s">
        <v>25</v>
      </c>
      <c r="F166" t="s">
        <v>31</v>
      </c>
      <c r="G166">
        <v>6</v>
      </c>
      <c r="H166">
        <v>162</v>
      </c>
      <c r="J166">
        <v>972</v>
      </c>
      <c r="K166">
        <v>262.33839075322157</v>
      </c>
      <c r="L166" t="s">
        <v>32</v>
      </c>
      <c r="M166" t="s">
        <v>36</v>
      </c>
    </row>
    <row r="167" spans="1:13" x14ac:dyDescent="0.2">
      <c r="A167">
        <v>1187</v>
      </c>
      <c r="B167" s="2">
        <v>44687</v>
      </c>
      <c r="C167" t="s">
        <v>17</v>
      </c>
      <c r="D167" t="s">
        <v>21</v>
      </c>
      <c r="E167" t="s">
        <v>24</v>
      </c>
      <c r="F167" t="s">
        <v>31</v>
      </c>
      <c r="G167">
        <v>4</v>
      </c>
      <c r="H167">
        <v>451</v>
      </c>
      <c r="I167">
        <v>0.1</v>
      </c>
      <c r="J167">
        <v>1623.6</v>
      </c>
      <c r="K167">
        <v>389.41975471545152</v>
      </c>
      <c r="L167" t="s">
        <v>32</v>
      </c>
      <c r="M167" t="s">
        <v>35</v>
      </c>
    </row>
    <row r="168" spans="1:13" x14ac:dyDescent="0.2">
      <c r="A168">
        <v>1573</v>
      </c>
      <c r="B168" s="2">
        <v>44782</v>
      </c>
      <c r="C168" t="s">
        <v>18</v>
      </c>
      <c r="D168" t="s">
        <v>21</v>
      </c>
      <c r="E168" t="s">
        <v>24</v>
      </c>
      <c r="F168" t="s">
        <v>31</v>
      </c>
      <c r="G168">
        <v>6</v>
      </c>
      <c r="H168">
        <v>337</v>
      </c>
      <c r="I168">
        <v>0.2</v>
      </c>
      <c r="J168">
        <v>1617.6</v>
      </c>
      <c r="K168">
        <v>450.94242366380831</v>
      </c>
      <c r="L168" t="s">
        <v>32</v>
      </c>
      <c r="M168" t="s">
        <v>36</v>
      </c>
    </row>
    <row r="169" spans="1:13" x14ac:dyDescent="0.2">
      <c r="A169">
        <v>1826</v>
      </c>
      <c r="B169" s="2">
        <v>44822</v>
      </c>
      <c r="C169" t="s">
        <v>18</v>
      </c>
      <c r="D169" t="s">
        <v>21</v>
      </c>
      <c r="E169" t="s">
        <v>25</v>
      </c>
      <c r="F169" t="s">
        <v>31</v>
      </c>
      <c r="G169">
        <v>8</v>
      </c>
      <c r="H169">
        <v>307</v>
      </c>
      <c r="J169">
        <v>2456</v>
      </c>
      <c r="K169">
        <v>625.70499751105683</v>
      </c>
      <c r="L169" t="s">
        <v>32</v>
      </c>
      <c r="M169" t="s">
        <v>36</v>
      </c>
    </row>
    <row r="170" spans="1:13" x14ac:dyDescent="0.2">
      <c r="A170">
        <v>1243</v>
      </c>
      <c r="B170" s="2">
        <v>44616</v>
      </c>
      <c r="C170" t="s">
        <v>13</v>
      </c>
      <c r="D170" t="s">
        <v>21</v>
      </c>
      <c r="E170" t="s">
        <v>26</v>
      </c>
      <c r="F170" t="s">
        <v>31</v>
      </c>
      <c r="G170">
        <v>3</v>
      </c>
      <c r="H170">
        <v>46</v>
      </c>
      <c r="I170">
        <v>0.2</v>
      </c>
      <c r="J170">
        <v>110.4</v>
      </c>
      <c r="K170">
        <v>24.190515067447599</v>
      </c>
      <c r="L170" t="s">
        <v>32</v>
      </c>
      <c r="M170" t="s">
        <v>36</v>
      </c>
    </row>
    <row r="171" spans="1:13" x14ac:dyDescent="0.2">
      <c r="A171">
        <v>1459</v>
      </c>
      <c r="B171" s="2">
        <v>44594</v>
      </c>
      <c r="C171" t="s">
        <v>13</v>
      </c>
      <c r="D171" t="s">
        <v>23</v>
      </c>
      <c r="E171" t="s">
        <v>24</v>
      </c>
      <c r="F171" t="s">
        <v>30</v>
      </c>
      <c r="G171">
        <v>9</v>
      </c>
      <c r="H171">
        <v>45</v>
      </c>
      <c r="J171">
        <v>405</v>
      </c>
      <c r="K171">
        <v>121.1288516847588</v>
      </c>
      <c r="L171" t="s">
        <v>32</v>
      </c>
      <c r="M171" t="s">
        <v>34</v>
      </c>
    </row>
    <row r="172" spans="1:13" x14ac:dyDescent="0.2">
      <c r="A172">
        <v>1014</v>
      </c>
      <c r="B172" s="2">
        <v>44750</v>
      </c>
      <c r="C172" t="s">
        <v>18</v>
      </c>
      <c r="D172" t="s">
        <v>22</v>
      </c>
      <c r="E172" t="s">
        <v>24</v>
      </c>
      <c r="F172" t="s">
        <v>30</v>
      </c>
      <c r="G172">
        <v>9</v>
      </c>
      <c r="H172">
        <v>213</v>
      </c>
      <c r="I172">
        <v>0.2</v>
      </c>
      <c r="J172">
        <v>1533.6</v>
      </c>
      <c r="K172">
        <v>139.82841590594231</v>
      </c>
      <c r="L172" t="s">
        <v>32</v>
      </c>
      <c r="M172" t="s">
        <v>36</v>
      </c>
    </row>
    <row r="173" spans="1:13" x14ac:dyDescent="0.2">
      <c r="A173">
        <v>1838</v>
      </c>
      <c r="B173" s="2">
        <v>44696</v>
      </c>
      <c r="C173" t="s">
        <v>15</v>
      </c>
      <c r="D173" t="s">
        <v>21</v>
      </c>
      <c r="E173" t="s">
        <v>24</v>
      </c>
      <c r="F173" t="s">
        <v>27</v>
      </c>
      <c r="G173">
        <v>3</v>
      </c>
      <c r="H173">
        <v>83</v>
      </c>
      <c r="I173">
        <v>0</v>
      </c>
      <c r="J173">
        <v>249</v>
      </c>
      <c r="K173">
        <v>45.593187471632262</v>
      </c>
      <c r="L173" t="s">
        <v>33</v>
      </c>
      <c r="M173" t="s">
        <v>35</v>
      </c>
    </row>
    <row r="174" spans="1:13" x14ac:dyDescent="0.2">
      <c r="A174">
        <v>1856</v>
      </c>
      <c r="B174" s="2">
        <v>44695</v>
      </c>
      <c r="C174" t="s">
        <v>15</v>
      </c>
      <c r="D174" t="s">
        <v>21</v>
      </c>
      <c r="E174" t="s">
        <v>26</v>
      </c>
      <c r="F174" t="s">
        <v>29</v>
      </c>
      <c r="G174">
        <v>2</v>
      </c>
      <c r="H174">
        <v>414</v>
      </c>
      <c r="I174">
        <v>0.1</v>
      </c>
      <c r="J174">
        <v>745.2</v>
      </c>
      <c r="K174">
        <v>63.201412639207987</v>
      </c>
      <c r="L174" t="s">
        <v>32</v>
      </c>
      <c r="M174" t="s">
        <v>35</v>
      </c>
    </row>
    <row r="175" spans="1:13" x14ac:dyDescent="0.2">
      <c r="A175">
        <v>1821</v>
      </c>
      <c r="B175" s="2">
        <v>44657</v>
      </c>
      <c r="C175" t="s">
        <v>15</v>
      </c>
      <c r="D175" t="s">
        <v>21</v>
      </c>
      <c r="E175" t="s">
        <v>24</v>
      </c>
      <c r="F175" t="s">
        <v>29</v>
      </c>
      <c r="G175">
        <v>7</v>
      </c>
      <c r="H175">
        <v>328</v>
      </c>
      <c r="J175">
        <v>2296</v>
      </c>
      <c r="K175">
        <v>654.74988669620541</v>
      </c>
      <c r="L175" t="s">
        <v>32</v>
      </c>
      <c r="M175" t="s">
        <v>34</v>
      </c>
    </row>
    <row r="176" spans="1:13" x14ac:dyDescent="0.2">
      <c r="A176">
        <v>1376</v>
      </c>
      <c r="B176" s="2">
        <v>44801</v>
      </c>
      <c r="C176" t="s">
        <v>13</v>
      </c>
      <c r="D176" t="s">
        <v>22</v>
      </c>
      <c r="E176" t="s">
        <v>25</v>
      </c>
      <c r="F176" t="s">
        <v>30</v>
      </c>
      <c r="G176">
        <v>8</v>
      </c>
      <c r="H176">
        <v>33</v>
      </c>
      <c r="I176">
        <v>0</v>
      </c>
      <c r="J176">
        <v>264</v>
      </c>
      <c r="K176">
        <v>71.439480314884349</v>
      </c>
      <c r="L176" t="s">
        <v>32</v>
      </c>
      <c r="M176" t="s">
        <v>36</v>
      </c>
    </row>
    <row r="177" spans="1:13" x14ac:dyDescent="0.2">
      <c r="A177">
        <v>1217</v>
      </c>
      <c r="B177" s="2">
        <v>44742</v>
      </c>
      <c r="C177" t="s">
        <v>15</v>
      </c>
      <c r="D177" t="s">
        <v>20</v>
      </c>
      <c r="E177" t="s">
        <v>26</v>
      </c>
      <c r="F177" t="s">
        <v>31</v>
      </c>
      <c r="G177">
        <v>4</v>
      </c>
      <c r="H177">
        <v>480</v>
      </c>
      <c r="J177">
        <v>1920</v>
      </c>
      <c r="K177">
        <v>125.89109082330511</v>
      </c>
      <c r="L177" t="s">
        <v>32</v>
      </c>
      <c r="M177" t="s">
        <v>36</v>
      </c>
    </row>
    <row r="178" spans="1:13" x14ac:dyDescent="0.2">
      <c r="A178">
        <v>1725</v>
      </c>
      <c r="B178" s="2">
        <v>44731</v>
      </c>
      <c r="C178" t="s">
        <v>18</v>
      </c>
      <c r="D178" t="s">
        <v>23</v>
      </c>
      <c r="E178" t="s">
        <v>25</v>
      </c>
      <c r="F178" t="s">
        <v>31</v>
      </c>
      <c r="G178">
        <v>2</v>
      </c>
      <c r="H178">
        <v>167</v>
      </c>
      <c r="J178">
        <v>334</v>
      </c>
      <c r="K178">
        <v>23.52406636985598</v>
      </c>
      <c r="L178" t="s">
        <v>32</v>
      </c>
      <c r="M178" t="s">
        <v>36</v>
      </c>
    </row>
    <row r="179" spans="1:13" x14ac:dyDescent="0.2">
      <c r="A179">
        <v>1805</v>
      </c>
      <c r="B179" s="2">
        <v>44588</v>
      </c>
      <c r="C179" t="s">
        <v>13</v>
      </c>
      <c r="D179" t="s">
        <v>23</v>
      </c>
      <c r="E179" t="s">
        <v>24</v>
      </c>
      <c r="F179" t="s">
        <v>31</v>
      </c>
      <c r="G179">
        <v>9</v>
      </c>
      <c r="H179">
        <v>98</v>
      </c>
      <c r="I179">
        <v>0.3</v>
      </c>
      <c r="J179">
        <v>617.4</v>
      </c>
      <c r="K179">
        <v>178.74864165642629</v>
      </c>
      <c r="L179" t="s">
        <v>33</v>
      </c>
      <c r="M179" t="s">
        <v>35</v>
      </c>
    </row>
    <row r="180" spans="1:13" x14ac:dyDescent="0.2">
      <c r="A180">
        <v>1389</v>
      </c>
      <c r="B180" s="2">
        <v>44653</v>
      </c>
      <c r="C180" t="s">
        <v>16</v>
      </c>
      <c r="D180" t="s">
        <v>23</v>
      </c>
      <c r="E180" t="s">
        <v>24</v>
      </c>
      <c r="F180" t="s">
        <v>31</v>
      </c>
      <c r="G180">
        <v>5</v>
      </c>
      <c r="H180">
        <v>449</v>
      </c>
      <c r="I180">
        <v>0.2</v>
      </c>
      <c r="J180">
        <v>1796</v>
      </c>
      <c r="K180">
        <v>463.2319726104223</v>
      </c>
      <c r="L180" t="s">
        <v>32</v>
      </c>
      <c r="M180" t="s">
        <v>36</v>
      </c>
    </row>
    <row r="181" spans="1:13" x14ac:dyDescent="0.2">
      <c r="A181">
        <v>1957</v>
      </c>
      <c r="B181" s="2">
        <v>44665</v>
      </c>
      <c r="C181" t="s">
        <v>15</v>
      </c>
      <c r="D181" t="s">
        <v>21</v>
      </c>
      <c r="E181" t="s">
        <v>24</v>
      </c>
      <c r="F181" t="s">
        <v>29</v>
      </c>
      <c r="G181">
        <v>5</v>
      </c>
      <c r="H181">
        <v>368</v>
      </c>
      <c r="I181">
        <v>0.1</v>
      </c>
      <c r="J181">
        <v>1656</v>
      </c>
      <c r="K181">
        <v>282.7491130433371</v>
      </c>
      <c r="L181" t="s">
        <v>32</v>
      </c>
      <c r="M181" t="s">
        <v>35</v>
      </c>
    </row>
    <row r="182" spans="1:13" x14ac:dyDescent="0.2">
      <c r="A182">
        <v>1624</v>
      </c>
      <c r="B182" s="2">
        <v>44841</v>
      </c>
      <c r="C182" t="s">
        <v>19</v>
      </c>
      <c r="D182" t="s">
        <v>20</v>
      </c>
      <c r="E182" t="s">
        <v>26</v>
      </c>
      <c r="F182" t="s">
        <v>29</v>
      </c>
      <c r="G182">
        <v>1</v>
      </c>
      <c r="H182">
        <v>112</v>
      </c>
      <c r="I182">
        <v>0.3</v>
      </c>
      <c r="J182">
        <v>78.399999999999991</v>
      </c>
      <c r="K182">
        <v>18.59699620448081</v>
      </c>
      <c r="L182" t="s">
        <v>32</v>
      </c>
      <c r="M182" t="s">
        <v>35</v>
      </c>
    </row>
    <row r="183" spans="1:13" x14ac:dyDescent="0.2">
      <c r="A183">
        <v>1676</v>
      </c>
      <c r="B183" s="2">
        <v>44815</v>
      </c>
      <c r="C183" t="s">
        <v>16</v>
      </c>
      <c r="D183" t="s">
        <v>21</v>
      </c>
      <c r="E183" t="s">
        <v>26</v>
      </c>
      <c r="F183" t="s">
        <v>28</v>
      </c>
      <c r="G183">
        <v>8</v>
      </c>
      <c r="H183">
        <v>375</v>
      </c>
      <c r="I183">
        <v>0.3</v>
      </c>
      <c r="J183">
        <v>2100</v>
      </c>
      <c r="K183">
        <v>381.88480161440509</v>
      </c>
      <c r="L183" t="s">
        <v>32</v>
      </c>
      <c r="M183" t="s">
        <v>34</v>
      </c>
    </row>
    <row r="184" spans="1:13" x14ac:dyDescent="0.2">
      <c r="A184">
        <v>1671</v>
      </c>
      <c r="B184" s="2">
        <v>44861</v>
      </c>
      <c r="C184" t="s">
        <v>19</v>
      </c>
      <c r="D184" t="s">
        <v>20</v>
      </c>
      <c r="E184" t="s">
        <v>25</v>
      </c>
      <c r="F184" t="s">
        <v>31</v>
      </c>
      <c r="G184">
        <v>6</v>
      </c>
      <c r="H184">
        <v>39</v>
      </c>
      <c r="I184">
        <v>0.2</v>
      </c>
      <c r="J184">
        <v>187.2</v>
      </c>
      <c r="K184">
        <v>33.35224244718848</v>
      </c>
      <c r="L184" t="s">
        <v>32</v>
      </c>
      <c r="M184" t="s">
        <v>34</v>
      </c>
    </row>
    <row r="185" spans="1:13" x14ac:dyDescent="0.2">
      <c r="A185">
        <v>1337</v>
      </c>
      <c r="B185" s="2">
        <v>44680</v>
      </c>
      <c r="C185" t="s">
        <v>16</v>
      </c>
      <c r="D185" t="s">
        <v>23</v>
      </c>
      <c r="E185" t="s">
        <v>25</v>
      </c>
      <c r="F185" t="s">
        <v>29</v>
      </c>
      <c r="G185">
        <v>7</v>
      </c>
      <c r="H185">
        <v>292</v>
      </c>
      <c r="I185">
        <v>0.1</v>
      </c>
      <c r="J185">
        <v>1839.6</v>
      </c>
      <c r="K185">
        <v>118.2194662574619</v>
      </c>
      <c r="L185" t="s">
        <v>32</v>
      </c>
      <c r="M185" t="s">
        <v>36</v>
      </c>
    </row>
    <row r="186" spans="1:13" x14ac:dyDescent="0.2">
      <c r="A186">
        <v>1034</v>
      </c>
      <c r="B186" s="2">
        <v>44645</v>
      </c>
      <c r="C186" t="s">
        <v>16</v>
      </c>
      <c r="D186" t="s">
        <v>20</v>
      </c>
      <c r="E186" t="s">
        <v>24</v>
      </c>
      <c r="F186" t="s">
        <v>28</v>
      </c>
      <c r="G186">
        <v>3</v>
      </c>
      <c r="H186">
        <v>299</v>
      </c>
      <c r="I186">
        <v>0.1</v>
      </c>
      <c r="J186">
        <v>807.30000000000007</v>
      </c>
      <c r="K186">
        <v>117.8320855238866</v>
      </c>
      <c r="L186" t="s">
        <v>32</v>
      </c>
      <c r="M186" t="s">
        <v>35</v>
      </c>
    </row>
    <row r="187" spans="1:13" x14ac:dyDescent="0.2">
      <c r="A187">
        <v>1744</v>
      </c>
      <c r="B187" s="2">
        <v>44807</v>
      </c>
      <c r="C187" t="s">
        <v>16</v>
      </c>
      <c r="D187" t="s">
        <v>23</v>
      </c>
      <c r="E187" t="s">
        <v>26</v>
      </c>
      <c r="F187" t="s">
        <v>27</v>
      </c>
      <c r="G187">
        <v>5</v>
      </c>
      <c r="H187">
        <v>416</v>
      </c>
      <c r="I187">
        <v>0.3</v>
      </c>
      <c r="J187">
        <v>1456</v>
      </c>
      <c r="K187">
        <v>315.92287956452031</v>
      </c>
      <c r="L187" t="s">
        <v>32</v>
      </c>
      <c r="M187" t="s">
        <v>35</v>
      </c>
    </row>
    <row r="188" spans="1:13" x14ac:dyDescent="0.2">
      <c r="A188">
        <v>1387</v>
      </c>
      <c r="B188" s="2">
        <v>44651</v>
      </c>
      <c r="C188" t="s">
        <v>18</v>
      </c>
      <c r="D188" t="s">
        <v>21</v>
      </c>
      <c r="E188" t="s">
        <v>26</v>
      </c>
      <c r="F188" t="s">
        <v>31</v>
      </c>
      <c r="G188">
        <v>2</v>
      </c>
      <c r="H188">
        <v>91</v>
      </c>
      <c r="J188">
        <v>182</v>
      </c>
      <c r="K188">
        <v>10.291950238208949</v>
      </c>
      <c r="L188" t="s">
        <v>32</v>
      </c>
      <c r="M188" t="s">
        <v>36</v>
      </c>
    </row>
    <row r="189" spans="1:13" x14ac:dyDescent="0.2">
      <c r="A189">
        <v>1791</v>
      </c>
      <c r="B189" s="2">
        <v>44683</v>
      </c>
      <c r="C189" t="s">
        <v>19</v>
      </c>
      <c r="D189" t="s">
        <v>20</v>
      </c>
      <c r="E189" t="s">
        <v>24</v>
      </c>
      <c r="F189" t="s">
        <v>27</v>
      </c>
      <c r="G189">
        <v>8</v>
      </c>
      <c r="H189">
        <v>359</v>
      </c>
      <c r="J189">
        <v>2872</v>
      </c>
      <c r="K189">
        <v>320.93077773369589</v>
      </c>
      <c r="L189" t="s">
        <v>32</v>
      </c>
      <c r="M189" t="s">
        <v>35</v>
      </c>
    </row>
    <row r="190" spans="1:13" x14ac:dyDescent="0.2">
      <c r="A190">
        <v>1095</v>
      </c>
      <c r="B190" s="2">
        <v>44761</v>
      </c>
      <c r="C190" t="s">
        <v>13</v>
      </c>
      <c r="D190" t="s">
        <v>22</v>
      </c>
      <c r="E190" t="s">
        <v>26</v>
      </c>
      <c r="F190" t="s">
        <v>28</v>
      </c>
      <c r="G190">
        <v>9</v>
      </c>
      <c r="H190">
        <v>379</v>
      </c>
      <c r="J190">
        <v>3411</v>
      </c>
      <c r="K190">
        <v>828.88363917334436</v>
      </c>
      <c r="L190" t="s">
        <v>32</v>
      </c>
      <c r="M190" t="s">
        <v>35</v>
      </c>
    </row>
    <row r="191" spans="1:13" x14ac:dyDescent="0.2">
      <c r="A191">
        <v>1986</v>
      </c>
      <c r="B191" s="2">
        <v>44732</v>
      </c>
      <c r="C191" t="s">
        <v>17</v>
      </c>
      <c r="D191" t="s">
        <v>21</v>
      </c>
      <c r="E191" t="s">
        <v>26</v>
      </c>
      <c r="F191" t="s">
        <v>29</v>
      </c>
      <c r="G191">
        <v>4</v>
      </c>
      <c r="H191">
        <v>180</v>
      </c>
      <c r="I191">
        <v>0.2</v>
      </c>
      <c r="J191">
        <v>576</v>
      </c>
      <c r="K191">
        <v>94.79529238012654</v>
      </c>
      <c r="L191" t="s">
        <v>32</v>
      </c>
      <c r="M191" t="s">
        <v>36</v>
      </c>
    </row>
    <row r="192" spans="1:13" x14ac:dyDescent="0.2">
      <c r="A192">
        <v>1191</v>
      </c>
      <c r="B192" s="2">
        <v>44590</v>
      </c>
      <c r="C192" t="s">
        <v>18</v>
      </c>
      <c r="D192" t="s">
        <v>20</v>
      </c>
      <c r="E192" t="s">
        <v>25</v>
      </c>
      <c r="F192" t="s">
        <v>29</v>
      </c>
      <c r="G192">
        <v>7</v>
      </c>
      <c r="H192">
        <v>454</v>
      </c>
      <c r="I192">
        <v>0.3</v>
      </c>
      <c r="J192">
        <v>2224.6</v>
      </c>
      <c r="K192">
        <v>293.05301842642268</v>
      </c>
      <c r="L192" t="s">
        <v>32</v>
      </c>
      <c r="M192" t="s">
        <v>36</v>
      </c>
    </row>
    <row r="193" spans="1:13" x14ac:dyDescent="0.2">
      <c r="A193">
        <v>1654</v>
      </c>
      <c r="B193" s="2">
        <v>44768</v>
      </c>
      <c r="C193" t="s">
        <v>17</v>
      </c>
      <c r="D193" t="s">
        <v>22</v>
      </c>
      <c r="E193" t="s">
        <v>26</v>
      </c>
      <c r="F193" t="s">
        <v>29</v>
      </c>
      <c r="G193">
        <v>6</v>
      </c>
      <c r="H193">
        <v>281</v>
      </c>
      <c r="I193">
        <v>0.3</v>
      </c>
      <c r="J193">
        <v>1180.2</v>
      </c>
      <c r="K193">
        <v>90.130015172203841</v>
      </c>
      <c r="L193" t="s">
        <v>32</v>
      </c>
      <c r="M193" t="s">
        <v>36</v>
      </c>
    </row>
    <row r="194" spans="1:13" x14ac:dyDescent="0.2">
      <c r="A194">
        <v>1724</v>
      </c>
      <c r="B194" s="2">
        <v>44677</v>
      </c>
      <c r="C194" t="s">
        <v>19</v>
      </c>
      <c r="D194" t="s">
        <v>20</v>
      </c>
      <c r="E194" t="s">
        <v>26</v>
      </c>
      <c r="F194" t="s">
        <v>27</v>
      </c>
      <c r="G194">
        <v>6</v>
      </c>
      <c r="H194">
        <v>241</v>
      </c>
      <c r="J194">
        <v>1446</v>
      </c>
      <c r="K194">
        <v>309.78928899057098</v>
      </c>
      <c r="L194" t="s">
        <v>33</v>
      </c>
      <c r="M194" t="s">
        <v>35</v>
      </c>
    </row>
    <row r="195" spans="1:13" x14ac:dyDescent="0.2">
      <c r="A195">
        <v>1619</v>
      </c>
      <c r="B195" s="2">
        <v>44787</v>
      </c>
      <c r="C195" t="s">
        <v>18</v>
      </c>
      <c r="D195" t="s">
        <v>23</v>
      </c>
      <c r="E195" t="s">
        <v>25</v>
      </c>
      <c r="F195" t="s">
        <v>31</v>
      </c>
      <c r="G195">
        <v>5</v>
      </c>
      <c r="H195">
        <v>478</v>
      </c>
      <c r="I195">
        <v>0.2</v>
      </c>
      <c r="J195">
        <v>1912</v>
      </c>
      <c r="K195">
        <v>247.01208163827781</v>
      </c>
      <c r="L195" t="s">
        <v>32</v>
      </c>
      <c r="M195" t="s">
        <v>36</v>
      </c>
    </row>
    <row r="196" spans="1:13" x14ac:dyDescent="0.2">
      <c r="A196">
        <v>1214</v>
      </c>
      <c r="B196" s="2">
        <v>44573</v>
      </c>
      <c r="C196" t="s">
        <v>18</v>
      </c>
      <c r="D196" t="s">
        <v>23</v>
      </c>
      <c r="E196" t="s">
        <v>26</v>
      </c>
      <c r="F196" t="s">
        <v>31</v>
      </c>
      <c r="G196">
        <v>6</v>
      </c>
      <c r="H196">
        <v>194</v>
      </c>
      <c r="I196">
        <v>0.1</v>
      </c>
      <c r="J196">
        <v>1047.5999999999999</v>
      </c>
      <c r="K196">
        <v>157.53136132407141</v>
      </c>
      <c r="L196" t="s">
        <v>32</v>
      </c>
      <c r="M196" t="s">
        <v>36</v>
      </c>
    </row>
    <row r="197" spans="1:13" x14ac:dyDescent="0.2">
      <c r="A197">
        <v>1099</v>
      </c>
      <c r="B197" s="2">
        <v>44578</v>
      </c>
      <c r="C197" t="s">
        <v>15</v>
      </c>
      <c r="D197" t="s">
        <v>20</v>
      </c>
      <c r="E197" t="s">
        <v>26</v>
      </c>
      <c r="F197" t="s">
        <v>27</v>
      </c>
      <c r="G197">
        <v>5</v>
      </c>
      <c r="H197">
        <v>246</v>
      </c>
      <c r="I197">
        <v>0.1</v>
      </c>
      <c r="J197">
        <v>1107</v>
      </c>
      <c r="K197">
        <v>225.82397335950461</v>
      </c>
      <c r="L197" t="s">
        <v>32</v>
      </c>
      <c r="M197" t="s">
        <v>35</v>
      </c>
    </row>
    <row r="198" spans="1:13" x14ac:dyDescent="0.2">
      <c r="A198">
        <v>1170</v>
      </c>
      <c r="B198" s="2">
        <v>44769</v>
      </c>
      <c r="C198" t="s">
        <v>13</v>
      </c>
      <c r="D198" t="s">
        <v>20</v>
      </c>
      <c r="E198" t="s">
        <v>24</v>
      </c>
      <c r="F198" t="s">
        <v>28</v>
      </c>
      <c r="G198">
        <v>7</v>
      </c>
      <c r="H198">
        <v>92</v>
      </c>
      <c r="I198">
        <v>0.3</v>
      </c>
      <c r="J198">
        <v>450.8</v>
      </c>
      <c r="K198">
        <v>96.55911780242792</v>
      </c>
      <c r="L198" t="s">
        <v>32</v>
      </c>
      <c r="M198" t="s">
        <v>36</v>
      </c>
    </row>
    <row r="199" spans="1:13" x14ac:dyDescent="0.2">
      <c r="A199">
        <v>1461</v>
      </c>
      <c r="B199" s="2">
        <v>44672</v>
      </c>
      <c r="C199" t="s">
        <v>14</v>
      </c>
      <c r="D199" t="s">
        <v>22</v>
      </c>
      <c r="E199" t="s">
        <v>25</v>
      </c>
      <c r="F199" t="s">
        <v>29</v>
      </c>
      <c r="G199">
        <v>9</v>
      </c>
      <c r="H199">
        <v>406</v>
      </c>
      <c r="I199">
        <v>0</v>
      </c>
      <c r="J199">
        <v>3654</v>
      </c>
      <c r="K199">
        <v>881.99603322837868</v>
      </c>
      <c r="L199" t="s">
        <v>32</v>
      </c>
      <c r="M199" t="s">
        <v>36</v>
      </c>
    </row>
    <row r="200" spans="1:13" x14ac:dyDescent="0.2">
      <c r="A200">
        <v>1014</v>
      </c>
      <c r="B200" s="2">
        <v>44692</v>
      </c>
      <c r="C200" t="s">
        <v>16</v>
      </c>
      <c r="D200" t="s">
        <v>22</v>
      </c>
      <c r="E200" t="s">
        <v>25</v>
      </c>
      <c r="F200" t="s">
        <v>30</v>
      </c>
      <c r="G200">
        <v>1</v>
      </c>
      <c r="H200">
        <v>405</v>
      </c>
      <c r="I200">
        <v>0.1</v>
      </c>
      <c r="J200">
        <v>364.5</v>
      </c>
      <c r="K200">
        <v>21.288039316701632</v>
      </c>
      <c r="L200" t="s">
        <v>32</v>
      </c>
      <c r="M200" t="s">
        <v>36</v>
      </c>
    </row>
    <row r="201" spans="1:13" x14ac:dyDescent="0.2">
      <c r="A201">
        <v>1040</v>
      </c>
      <c r="B201" s="2">
        <v>44714</v>
      </c>
      <c r="C201" t="s">
        <v>13</v>
      </c>
      <c r="D201" t="s">
        <v>23</v>
      </c>
      <c r="E201" t="s">
        <v>24</v>
      </c>
      <c r="F201" t="s">
        <v>29</v>
      </c>
      <c r="G201">
        <v>2</v>
      </c>
      <c r="H201">
        <v>444</v>
      </c>
      <c r="I201">
        <v>0</v>
      </c>
      <c r="J201">
        <v>888</v>
      </c>
      <c r="K201">
        <v>147.39301204481069</v>
      </c>
      <c r="L201" t="s">
        <v>32</v>
      </c>
      <c r="M201" t="s">
        <v>36</v>
      </c>
    </row>
    <row r="202" spans="1:13" x14ac:dyDescent="0.2">
      <c r="A202">
        <v>1406</v>
      </c>
      <c r="B202" s="2">
        <v>44724</v>
      </c>
      <c r="C202" t="s">
        <v>15</v>
      </c>
      <c r="D202" t="s">
        <v>21</v>
      </c>
      <c r="E202" t="s">
        <v>25</v>
      </c>
      <c r="F202" t="s">
        <v>28</v>
      </c>
      <c r="G202">
        <v>7</v>
      </c>
      <c r="H202">
        <v>65</v>
      </c>
      <c r="I202">
        <v>0.3</v>
      </c>
      <c r="J202">
        <v>318.5</v>
      </c>
      <c r="K202">
        <v>57.600001318183928</v>
      </c>
      <c r="L202" t="s">
        <v>32</v>
      </c>
      <c r="M202" t="s">
        <v>34</v>
      </c>
    </row>
    <row r="203" spans="1:13" x14ac:dyDescent="0.2">
      <c r="A203">
        <v>1080</v>
      </c>
      <c r="B203" s="2">
        <v>44843</v>
      </c>
      <c r="C203" t="s">
        <v>15</v>
      </c>
      <c r="D203" t="s">
        <v>22</v>
      </c>
      <c r="E203" t="s">
        <v>24</v>
      </c>
      <c r="F203" t="s">
        <v>31</v>
      </c>
      <c r="G203">
        <v>1</v>
      </c>
      <c r="H203">
        <v>466</v>
      </c>
      <c r="I203">
        <v>0</v>
      </c>
      <c r="J203">
        <v>466</v>
      </c>
      <c r="K203">
        <v>95.638178111237238</v>
      </c>
      <c r="L203" t="s">
        <v>32</v>
      </c>
      <c r="M203" t="s">
        <v>35</v>
      </c>
    </row>
    <row r="204" spans="1:13" x14ac:dyDescent="0.2">
      <c r="A204">
        <v>1138</v>
      </c>
      <c r="B204" s="2">
        <v>44703</v>
      </c>
      <c r="C204" t="s">
        <v>14</v>
      </c>
      <c r="D204" t="s">
        <v>22</v>
      </c>
      <c r="E204" t="s">
        <v>26</v>
      </c>
      <c r="F204" t="s">
        <v>29</v>
      </c>
      <c r="G204">
        <v>1</v>
      </c>
      <c r="H204">
        <v>339</v>
      </c>
      <c r="I204">
        <v>0.2</v>
      </c>
      <c r="J204">
        <v>271.2</v>
      </c>
      <c r="K204">
        <v>51.539402838712881</v>
      </c>
      <c r="L204" t="s">
        <v>32</v>
      </c>
      <c r="M204" t="s">
        <v>34</v>
      </c>
    </row>
    <row r="205" spans="1:13" x14ac:dyDescent="0.2">
      <c r="A205">
        <v>1795</v>
      </c>
      <c r="B205" s="2">
        <v>44785</v>
      </c>
      <c r="C205" t="s">
        <v>15</v>
      </c>
      <c r="D205" t="s">
        <v>21</v>
      </c>
      <c r="E205" t="s">
        <v>24</v>
      </c>
      <c r="F205" t="s">
        <v>29</v>
      </c>
      <c r="G205">
        <v>9</v>
      </c>
      <c r="H205">
        <v>402</v>
      </c>
      <c r="J205">
        <v>3618</v>
      </c>
      <c r="K205">
        <v>810.34075238368189</v>
      </c>
      <c r="L205" t="s">
        <v>32</v>
      </c>
      <c r="M205" t="s">
        <v>35</v>
      </c>
    </row>
    <row r="206" spans="1:13" x14ac:dyDescent="0.2">
      <c r="A206">
        <v>1508</v>
      </c>
      <c r="B206" s="2">
        <v>44642</v>
      </c>
      <c r="C206" t="s">
        <v>16</v>
      </c>
      <c r="D206" t="s">
        <v>20</v>
      </c>
      <c r="E206" t="s">
        <v>26</v>
      </c>
      <c r="F206" t="s">
        <v>31</v>
      </c>
      <c r="G206">
        <v>8</v>
      </c>
      <c r="H206">
        <v>182</v>
      </c>
      <c r="I206">
        <v>0.2</v>
      </c>
      <c r="J206">
        <v>1164.8</v>
      </c>
      <c r="K206">
        <v>92.699498796890381</v>
      </c>
      <c r="L206" t="s">
        <v>32</v>
      </c>
      <c r="M206" t="s">
        <v>36</v>
      </c>
    </row>
    <row r="207" spans="1:13" x14ac:dyDescent="0.2">
      <c r="A207">
        <v>1435</v>
      </c>
      <c r="B207" s="2">
        <v>44563</v>
      </c>
      <c r="C207" t="s">
        <v>17</v>
      </c>
      <c r="D207" t="s">
        <v>21</v>
      </c>
      <c r="E207" t="s">
        <v>25</v>
      </c>
      <c r="F207" t="s">
        <v>27</v>
      </c>
      <c r="G207">
        <v>1</v>
      </c>
      <c r="H207">
        <v>413</v>
      </c>
      <c r="I207">
        <v>0.1</v>
      </c>
      <c r="J207">
        <v>371.7</v>
      </c>
      <c r="K207">
        <v>99.738531956365563</v>
      </c>
      <c r="L207" t="s">
        <v>32</v>
      </c>
      <c r="M207" t="s">
        <v>35</v>
      </c>
    </row>
    <row r="208" spans="1:13" x14ac:dyDescent="0.2">
      <c r="A208">
        <v>1427</v>
      </c>
      <c r="B208" s="2">
        <v>44641</v>
      </c>
      <c r="C208" t="s">
        <v>14</v>
      </c>
      <c r="D208" t="s">
        <v>21</v>
      </c>
      <c r="E208" t="s">
        <v>26</v>
      </c>
      <c r="F208" t="s">
        <v>30</v>
      </c>
      <c r="G208">
        <v>9</v>
      </c>
      <c r="H208">
        <v>464</v>
      </c>
      <c r="I208">
        <v>0.3</v>
      </c>
      <c r="J208">
        <v>2923.2</v>
      </c>
      <c r="K208">
        <v>720.31420249303346</v>
      </c>
      <c r="L208" t="s">
        <v>32</v>
      </c>
      <c r="M208" t="s">
        <v>36</v>
      </c>
    </row>
    <row r="209" spans="1:13" x14ac:dyDescent="0.2">
      <c r="A209">
        <v>1161</v>
      </c>
      <c r="B209" s="2">
        <v>44663</v>
      </c>
      <c r="C209" t="s">
        <v>17</v>
      </c>
      <c r="D209" t="s">
        <v>21</v>
      </c>
      <c r="E209" t="s">
        <v>24</v>
      </c>
      <c r="F209" t="s">
        <v>28</v>
      </c>
      <c r="G209">
        <v>1</v>
      </c>
      <c r="H209">
        <v>218</v>
      </c>
      <c r="I209">
        <v>0.3</v>
      </c>
      <c r="J209">
        <v>152.6</v>
      </c>
      <c r="K209">
        <v>38.25084226870635</v>
      </c>
      <c r="L209" t="s">
        <v>32</v>
      </c>
      <c r="M209" t="s">
        <v>36</v>
      </c>
    </row>
    <row r="210" spans="1:13" x14ac:dyDescent="0.2">
      <c r="A210">
        <v>1727</v>
      </c>
      <c r="B210" s="2">
        <v>44726</v>
      </c>
      <c r="C210" t="s">
        <v>17</v>
      </c>
      <c r="D210" t="s">
        <v>23</v>
      </c>
      <c r="E210" t="s">
        <v>25</v>
      </c>
      <c r="F210" t="s">
        <v>29</v>
      </c>
      <c r="G210">
        <v>5</v>
      </c>
      <c r="H210">
        <v>482</v>
      </c>
      <c r="I210">
        <v>0.1</v>
      </c>
      <c r="J210">
        <v>2169</v>
      </c>
      <c r="K210">
        <v>574.86074871873109</v>
      </c>
      <c r="L210" t="s">
        <v>32</v>
      </c>
      <c r="M210" t="s">
        <v>36</v>
      </c>
    </row>
    <row r="211" spans="1:13" x14ac:dyDescent="0.2">
      <c r="A211">
        <v>1952</v>
      </c>
      <c r="B211" s="2">
        <v>44783</v>
      </c>
      <c r="C211" t="s">
        <v>18</v>
      </c>
      <c r="D211" t="s">
        <v>22</v>
      </c>
      <c r="E211" t="s">
        <v>26</v>
      </c>
      <c r="F211" t="s">
        <v>29</v>
      </c>
      <c r="G211">
        <v>8</v>
      </c>
      <c r="H211">
        <v>130</v>
      </c>
      <c r="I211">
        <v>0.2</v>
      </c>
      <c r="J211">
        <v>832</v>
      </c>
      <c r="K211">
        <v>152.47000438719709</v>
      </c>
      <c r="L211" t="s">
        <v>32</v>
      </c>
      <c r="M211" t="s">
        <v>35</v>
      </c>
    </row>
    <row r="212" spans="1:13" x14ac:dyDescent="0.2">
      <c r="A212">
        <v>1975</v>
      </c>
      <c r="B212" s="2">
        <v>44607</v>
      </c>
      <c r="C212" t="s">
        <v>17</v>
      </c>
      <c r="D212" t="s">
        <v>23</v>
      </c>
      <c r="E212" t="s">
        <v>26</v>
      </c>
      <c r="F212" t="s">
        <v>28</v>
      </c>
      <c r="G212">
        <v>5</v>
      </c>
      <c r="H212">
        <v>94</v>
      </c>
      <c r="I212">
        <v>0.2</v>
      </c>
      <c r="J212">
        <v>376</v>
      </c>
      <c r="K212">
        <v>27.541120143374421</v>
      </c>
      <c r="L212" t="s">
        <v>32</v>
      </c>
      <c r="M212" t="s">
        <v>35</v>
      </c>
    </row>
    <row r="213" spans="1:13" x14ac:dyDescent="0.2">
      <c r="A213">
        <v>1897</v>
      </c>
      <c r="B213" s="2">
        <v>44635</v>
      </c>
      <c r="C213" t="s">
        <v>13</v>
      </c>
      <c r="D213" t="s">
        <v>20</v>
      </c>
      <c r="E213" t="s">
        <v>26</v>
      </c>
      <c r="F213" t="s">
        <v>30</v>
      </c>
      <c r="G213">
        <v>5</v>
      </c>
      <c r="H213">
        <v>276</v>
      </c>
      <c r="I213">
        <v>0.3</v>
      </c>
      <c r="J213">
        <v>965.99999999999989</v>
      </c>
      <c r="K213">
        <v>225.96264208876431</v>
      </c>
      <c r="L213" t="s">
        <v>32</v>
      </c>
      <c r="M213" t="s">
        <v>34</v>
      </c>
    </row>
    <row r="214" spans="1:13" x14ac:dyDescent="0.2">
      <c r="A214">
        <v>1224</v>
      </c>
      <c r="B214" s="2">
        <v>44799</v>
      </c>
      <c r="C214" t="s">
        <v>19</v>
      </c>
      <c r="D214" t="s">
        <v>20</v>
      </c>
      <c r="E214" t="s">
        <v>25</v>
      </c>
      <c r="F214" t="s">
        <v>29</v>
      </c>
      <c r="G214">
        <v>5</v>
      </c>
      <c r="H214">
        <v>207</v>
      </c>
      <c r="I214">
        <v>0.1</v>
      </c>
      <c r="J214">
        <v>931.5</v>
      </c>
      <c r="K214">
        <v>189.86252758813009</v>
      </c>
      <c r="L214" t="s">
        <v>32</v>
      </c>
      <c r="M214" t="s">
        <v>34</v>
      </c>
    </row>
    <row r="215" spans="1:13" x14ac:dyDescent="0.2">
      <c r="A215">
        <v>1782</v>
      </c>
      <c r="B215" s="2">
        <v>44608</v>
      </c>
      <c r="C215" t="s">
        <v>17</v>
      </c>
      <c r="D215" t="s">
        <v>23</v>
      </c>
      <c r="E215" t="s">
        <v>25</v>
      </c>
      <c r="F215" t="s">
        <v>31</v>
      </c>
      <c r="G215">
        <v>4</v>
      </c>
      <c r="H215">
        <v>391</v>
      </c>
      <c r="J215">
        <v>1564</v>
      </c>
      <c r="K215">
        <v>308.18708637682067</v>
      </c>
      <c r="L215" t="s">
        <v>32</v>
      </c>
      <c r="M215" t="s">
        <v>34</v>
      </c>
    </row>
    <row r="216" spans="1:13" x14ac:dyDescent="0.2">
      <c r="A216">
        <v>1475</v>
      </c>
      <c r="B216" s="2">
        <v>44605</v>
      </c>
      <c r="C216" t="s">
        <v>15</v>
      </c>
      <c r="D216" t="s">
        <v>21</v>
      </c>
      <c r="E216" t="s">
        <v>24</v>
      </c>
      <c r="F216" t="s">
        <v>28</v>
      </c>
      <c r="G216">
        <v>1</v>
      </c>
      <c r="H216">
        <v>304</v>
      </c>
      <c r="I216">
        <v>0.3</v>
      </c>
      <c r="J216">
        <v>212.8</v>
      </c>
      <c r="K216">
        <v>29.552228155480211</v>
      </c>
      <c r="L216" t="s">
        <v>32</v>
      </c>
      <c r="M216" t="s">
        <v>35</v>
      </c>
    </row>
    <row r="217" spans="1:13" x14ac:dyDescent="0.2">
      <c r="A217">
        <v>1875</v>
      </c>
      <c r="B217" s="2">
        <v>44614</v>
      </c>
      <c r="C217" t="s">
        <v>18</v>
      </c>
      <c r="D217" t="s">
        <v>22</v>
      </c>
      <c r="E217" t="s">
        <v>25</v>
      </c>
      <c r="F217" t="s">
        <v>30</v>
      </c>
      <c r="G217">
        <v>7</v>
      </c>
      <c r="H217">
        <v>41</v>
      </c>
      <c r="I217">
        <v>0.2</v>
      </c>
      <c r="J217">
        <v>229.6</v>
      </c>
      <c r="K217">
        <v>43.661889419488219</v>
      </c>
      <c r="L217" t="s">
        <v>32</v>
      </c>
      <c r="M217" t="s">
        <v>34</v>
      </c>
    </row>
    <row r="218" spans="1:13" x14ac:dyDescent="0.2">
      <c r="A218">
        <v>1128</v>
      </c>
      <c r="B218" s="2">
        <v>44699</v>
      </c>
      <c r="C218" t="s">
        <v>14</v>
      </c>
      <c r="D218" t="s">
        <v>23</v>
      </c>
      <c r="E218" t="s">
        <v>24</v>
      </c>
      <c r="F218" t="s">
        <v>30</v>
      </c>
      <c r="G218">
        <v>7</v>
      </c>
      <c r="H218">
        <v>91</v>
      </c>
      <c r="I218">
        <v>0</v>
      </c>
      <c r="J218">
        <v>637</v>
      </c>
      <c r="K218">
        <v>175.1484603006981</v>
      </c>
      <c r="L218" t="s">
        <v>32</v>
      </c>
      <c r="M218" t="s">
        <v>34</v>
      </c>
    </row>
    <row r="219" spans="1:13" x14ac:dyDescent="0.2">
      <c r="A219">
        <v>1373</v>
      </c>
      <c r="B219" s="2">
        <v>44823</v>
      </c>
      <c r="C219" t="s">
        <v>19</v>
      </c>
      <c r="D219" t="s">
        <v>22</v>
      </c>
      <c r="E219" t="s">
        <v>25</v>
      </c>
      <c r="F219" t="s">
        <v>31</v>
      </c>
      <c r="G219">
        <v>1</v>
      </c>
      <c r="H219">
        <v>326</v>
      </c>
      <c r="J219">
        <v>326</v>
      </c>
      <c r="K219">
        <v>60.374691031321873</v>
      </c>
      <c r="L219" t="s">
        <v>32</v>
      </c>
      <c r="M219" t="s">
        <v>36</v>
      </c>
    </row>
    <row r="220" spans="1:13" x14ac:dyDescent="0.2">
      <c r="A220">
        <v>1748</v>
      </c>
      <c r="B220" s="2">
        <v>44679</v>
      </c>
      <c r="C220" t="s">
        <v>14</v>
      </c>
      <c r="D220" t="s">
        <v>22</v>
      </c>
      <c r="E220" t="s">
        <v>24</v>
      </c>
      <c r="F220" t="s">
        <v>27</v>
      </c>
      <c r="G220">
        <v>5</v>
      </c>
      <c r="H220">
        <v>474</v>
      </c>
      <c r="I220">
        <v>0.1</v>
      </c>
      <c r="J220">
        <v>2133</v>
      </c>
      <c r="K220">
        <v>143.42186222206161</v>
      </c>
      <c r="L220" t="s">
        <v>32</v>
      </c>
      <c r="M220" t="s">
        <v>34</v>
      </c>
    </row>
    <row r="221" spans="1:13" x14ac:dyDescent="0.2">
      <c r="A221">
        <v>1064</v>
      </c>
      <c r="B221" s="2">
        <v>44694</v>
      </c>
      <c r="C221" t="s">
        <v>16</v>
      </c>
      <c r="D221" t="s">
        <v>20</v>
      </c>
      <c r="E221" t="s">
        <v>24</v>
      </c>
      <c r="F221" t="s">
        <v>31</v>
      </c>
      <c r="G221">
        <v>3</v>
      </c>
      <c r="H221">
        <v>91</v>
      </c>
      <c r="I221">
        <v>0</v>
      </c>
      <c r="J221">
        <v>273</v>
      </c>
      <c r="K221">
        <v>75.514356190756047</v>
      </c>
      <c r="L221" t="s">
        <v>32</v>
      </c>
      <c r="M221" t="s">
        <v>34</v>
      </c>
    </row>
    <row r="222" spans="1:13" x14ac:dyDescent="0.2">
      <c r="A222">
        <v>1504</v>
      </c>
      <c r="B222" s="2">
        <v>44618</v>
      </c>
      <c r="C222" t="s">
        <v>15</v>
      </c>
      <c r="D222" t="s">
        <v>21</v>
      </c>
      <c r="E222" t="s">
        <v>26</v>
      </c>
      <c r="F222" t="s">
        <v>30</v>
      </c>
      <c r="G222">
        <v>2</v>
      </c>
      <c r="H222">
        <v>356</v>
      </c>
      <c r="J222">
        <v>712</v>
      </c>
      <c r="K222">
        <v>83.628088182822154</v>
      </c>
      <c r="L222" t="s">
        <v>32</v>
      </c>
      <c r="M222" t="s">
        <v>34</v>
      </c>
    </row>
    <row r="223" spans="1:13" x14ac:dyDescent="0.2">
      <c r="A223">
        <v>1974</v>
      </c>
      <c r="B223" s="2">
        <v>44821</v>
      </c>
      <c r="C223" t="s">
        <v>17</v>
      </c>
      <c r="D223" t="s">
        <v>20</v>
      </c>
      <c r="E223" t="s">
        <v>24</v>
      </c>
      <c r="F223" t="s">
        <v>30</v>
      </c>
      <c r="G223">
        <v>3</v>
      </c>
      <c r="H223">
        <v>202</v>
      </c>
      <c r="I223">
        <v>0.2</v>
      </c>
      <c r="J223">
        <v>484.8</v>
      </c>
      <c r="K223">
        <v>128.25105884264829</v>
      </c>
      <c r="L223" t="s">
        <v>32</v>
      </c>
      <c r="M223" t="s">
        <v>35</v>
      </c>
    </row>
    <row r="224" spans="1:13" x14ac:dyDescent="0.2">
      <c r="A224">
        <v>1496</v>
      </c>
      <c r="B224" s="2">
        <v>44831</v>
      </c>
      <c r="C224" t="s">
        <v>19</v>
      </c>
      <c r="D224" t="s">
        <v>20</v>
      </c>
      <c r="E224" t="s">
        <v>26</v>
      </c>
      <c r="F224" t="s">
        <v>29</v>
      </c>
      <c r="G224">
        <v>9</v>
      </c>
      <c r="H224">
        <v>371</v>
      </c>
      <c r="J224">
        <v>3339</v>
      </c>
      <c r="K224">
        <v>858.33106347196804</v>
      </c>
      <c r="L224" t="s">
        <v>32</v>
      </c>
      <c r="M224" t="s">
        <v>36</v>
      </c>
    </row>
    <row r="225" spans="1:13" x14ac:dyDescent="0.2">
      <c r="A225">
        <v>1972</v>
      </c>
      <c r="B225" s="2">
        <v>44806</v>
      </c>
      <c r="C225" t="s">
        <v>17</v>
      </c>
      <c r="D225" t="s">
        <v>20</v>
      </c>
      <c r="E225" t="s">
        <v>25</v>
      </c>
      <c r="F225" t="s">
        <v>28</v>
      </c>
      <c r="G225">
        <v>6</v>
      </c>
      <c r="H225">
        <v>31</v>
      </c>
      <c r="I225">
        <v>0.2</v>
      </c>
      <c r="J225">
        <v>148.80000000000001</v>
      </c>
      <c r="K225">
        <v>44.048903868157723</v>
      </c>
      <c r="L225" t="s">
        <v>32</v>
      </c>
      <c r="M225" t="s">
        <v>34</v>
      </c>
    </row>
    <row r="226" spans="1:13" x14ac:dyDescent="0.2">
      <c r="A226">
        <v>1052</v>
      </c>
      <c r="B226" s="2">
        <v>44858</v>
      </c>
      <c r="C226" t="s">
        <v>19</v>
      </c>
      <c r="D226" t="s">
        <v>21</v>
      </c>
      <c r="E226" t="s">
        <v>25</v>
      </c>
      <c r="F226" t="s">
        <v>27</v>
      </c>
      <c r="G226">
        <v>2</v>
      </c>
      <c r="H226">
        <v>239</v>
      </c>
      <c r="J226">
        <v>478</v>
      </c>
      <c r="K226">
        <v>57.273492570302047</v>
      </c>
      <c r="L226" t="s">
        <v>32</v>
      </c>
      <c r="M226" t="s">
        <v>34</v>
      </c>
    </row>
    <row r="227" spans="1:13" x14ac:dyDescent="0.2">
      <c r="A227">
        <v>1502</v>
      </c>
      <c r="B227" s="2">
        <v>44743</v>
      </c>
      <c r="C227" t="s">
        <v>15</v>
      </c>
      <c r="D227" t="s">
        <v>22</v>
      </c>
      <c r="E227" t="s">
        <v>24</v>
      </c>
      <c r="F227" t="s">
        <v>27</v>
      </c>
      <c r="G227">
        <v>5</v>
      </c>
      <c r="H227">
        <v>433</v>
      </c>
      <c r="I227">
        <v>0</v>
      </c>
      <c r="J227">
        <v>2165</v>
      </c>
      <c r="K227">
        <v>385.64205864694202</v>
      </c>
      <c r="L227" t="s">
        <v>32</v>
      </c>
      <c r="M227" t="s">
        <v>36</v>
      </c>
    </row>
    <row r="228" spans="1:13" x14ac:dyDescent="0.2">
      <c r="A228">
        <v>1709</v>
      </c>
      <c r="B228" s="2">
        <v>44810</v>
      </c>
      <c r="C228" t="s">
        <v>19</v>
      </c>
      <c r="D228" t="s">
        <v>23</v>
      </c>
      <c r="E228" t="s">
        <v>24</v>
      </c>
      <c r="F228" t="s">
        <v>28</v>
      </c>
      <c r="G228">
        <v>2</v>
      </c>
      <c r="H228">
        <v>262</v>
      </c>
      <c r="I228">
        <v>0</v>
      </c>
      <c r="J228">
        <v>524</v>
      </c>
      <c r="K228">
        <v>141.73253633790841</v>
      </c>
      <c r="L228" t="s">
        <v>32</v>
      </c>
      <c r="M228" t="s">
        <v>36</v>
      </c>
    </row>
    <row r="229" spans="1:13" x14ac:dyDescent="0.2">
      <c r="A229">
        <v>1639</v>
      </c>
      <c r="B229" s="2">
        <v>44793</v>
      </c>
      <c r="C229" t="s">
        <v>19</v>
      </c>
      <c r="D229" t="s">
        <v>21</v>
      </c>
      <c r="E229" t="s">
        <v>25</v>
      </c>
      <c r="F229" t="s">
        <v>27</v>
      </c>
      <c r="G229">
        <v>3</v>
      </c>
      <c r="H229">
        <v>41</v>
      </c>
      <c r="I229">
        <v>0.2</v>
      </c>
      <c r="J229">
        <v>98.4</v>
      </c>
      <c r="K229">
        <v>9.8895854427012537</v>
      </c>
      <c r="L229" t="s">
        <v>32</v>
      </c>
      <c r="M229" t="s">
        <v>35</v>
      </c>
    </row>
    <row r="230" spans="1:13" x14ac:dyDescent="0.2">
      <c r="A230">
        <v>1378</v>
      </c>
      <c r="B230" s="2">
        <v>44710</v>
      </c>
      <c r="C230" t="s">
        <v>14</v>
      </c>
      <c r="D230" t="s">
        <v>22</v>
      </c>
      <c r="E230" t="s">
        <v>26</v>
      </c>
      <c r="F230" t="s">
        <v>27</v>
      </c>
      <c r="G230">
        <v>7</v>
      </c>
      <c r="H230">
        <v>320</v>
      </c>
      <c r="I230">
        <v>0.1</v>
      </c>
      <c r="J230">
        <v>2016</v>
      </c>
      <c r="K230">
        <v>230.0911514719009</v>
      </c>
      <c r="L230" t="s">
        <v>32</v>
      </c>
      <c r="M230" t="s">
        <v>35</v>
      </c>
    </row>
    <row r="231" spans="1:13" x14ac:dyDescent="0.2">
      <c r="A231">
        <v>1546</v>
      </c>
      <c r="B231" s="2">
        <v>44733</v>
      </c>
      <c r="C231" t="s">
        <v>14</v>
      </c>
      <c r="D231" t="s">
        <v>22</v>
      </c>
      <c r="E231" t="s">
        <v>24</v>
      </c>
      <c r="F231" t="s">
        <v>28</v>
      </c>
      <c r="G231">
        <v>2</v>
      </c>
      <c r="H231">
        <v>221</v>
      </c>
      <c r="I231">
        <v>0</v>
      </c>
      <c r="J231">
        <v>442</v>
      </c>
      <c r="K231">
        <v>75.658939727870205</v>
      </c>
      <c r="L231" t="s">
        <v>32</v>
      </c>
      <c r="M231" t="s">
        <v>35</v>
      </c>
    </row>
    <row r="232" spans="1:13" x14ac:dyDescent="0.2">
      <c r="A232">
        <v>1241</v>
      </c>
      <c r="B232" s="2">
        <v>44631</v>
      </c>
      <c r="C232" t="s">
        <v>16</v>
      </c>
      <c r="D232" t="s">
        <v>21</v>
      </c>
      <c r="E232" t="s">
        <v>24</v>
      </c>
      <c r="F232" t="s">
        <v>29</v>
      </c>
      <c r="G232">
        <v>1</v>
      </c>
      <c r="H232">
        <v>166</v>
      </c>
      <c r="I232">
        <v>0</v>
      </c>
      <c r="J232">
        <v>166</v>
      </c>
      <c r="K232">
        <v>26.311803696215829</v>
      </c>
      <c r="L232" t="s">
        <v>32</v>
      </c>
      <c r="M232" t="s">
        <v>35</v>
      </c>
    </row>
    <row r="233" spans="1:13" x14ac:dyDescent="0.2">
      <c r="A233">
        <v>1232</v>
      </c>
      <c r="B233" s="2">
        <v>44827</v>
      </c>
      <c r="C233" t="s">
        <v>17</v>
      </c>
      <c r="D233" t="s">
        <v>23</v>
      </c>
      <c r="E233" t="s">
        <v>26</v>
      </c>
      <c r="F233" t="s">
        <v>29</v>
      </c>
      <c r="G233">
        <v>4</v>
      </c>
      <c r="H233">
        <v>421</v>
      </c>
      <c r="I233">
        <v>0</v>
      </c>
      <c r="J233">
        <v>1684</v>
      </c>
      <c r="K233">
        <v>430.10913393610861</v>
      </c>
      <c r="L233" t="s">
        <v>32</v>
      </c>
      <c r="M233" t="s">
        <v>36</v>
      </c>
    </row>
    <row r="234" spans="1:13" x14ac:dyDescent="0.2">
      <c r="A234">
        <v>1860</v>
      </c>
      <c r="B234" s="2">
        <v>44564</v>
      </c>
      <c r="C234" t="s">
        <v>13</v>
      </c>
      <c r="D234" t="s">
        <v>20</v>
      </c>
      <c r="E234" t="s">
        <v>26</v>
      </c>
      <c r="F234" t="s">
        <v>27</v>
      </c>
      <c r="G234">
        <v>2</v>
      </c>
      <c r="H234">
        <v>393</v>
      </c>
      <c r="I234">
        <v>0</v>
      </c>
      <c r="J234">
        <v>786</v>
      </c>
      <c r="K234">
        <v>164.33125105692221</v>
      </c>
      <c r="L234" t="s">
        <v>32</v>
      </c>
      <c r="M234" t="s">
        <v>35</v>
      </c>
    </row>
    <row r="235" spans="1:13" x14ac:dyDescent="0.2">
      <c r="A235">
        <v>1871</v>
      </c>
      <c r="B235" s="2">
        <v>44579</v>
      </c>
      <c r="C235" t="s">
        <v>15</v>
      </c>
      <c r="D235" t="s">
        <v>20</v>
      </c>
      <c r="E235" t="s">
        <v>26</v>
      </c>
      <c r="F235" t="s">
        <v>31</v>
      </c>
      <c r="G235">
        <v>6</v>
      </c>
      <c r="H235">
        <v>455</v>
      </c>
      <c r="J235">
        <v>2730</v>
      </c>
      <c r="K235">
        <v>264.82688137502151</v>
      </c>
      <c r="L235" t="s">
        <v>33</v>
      </c>
      <c r="M235" t="s">
        <v>34</v>
      </c>
    </row>
    <row r="236" spans="1:13" x14ac:dyDescent="0.2">
      <c r="A236">
        <v>1252</v>
      </c>
      <c r="B236" s="2">
        <v>44597</v>
      </c>
      <c r="C236" t="s">
        <v>15</v>
      </c>
      <c r="D236" t="s">
        <v>21</v>
      </c>
      <c r="E236" t="s">
        <v>24</v>
      </c>
      <c r="F236" t="s">
        <v>30</v>
      </c>
      <c r="G236">
        <v>2</v>
      </c>
      <c r="H236">
        <v>304</v>
      </c>
      <c r="J236">
        <v>608</v>
      </c>
      <c r="K236">
        <v>140.15478260681601</v>
      </c>
      <c r="L236" t="s">
        <v>32</v>
      </c>
      <c r="M236" t="s">
        <v>34</v>
      </c>
    </row>
    <row r="237" spans="1:13" x14ac:dyDescent="0.2">
      <c r="A237">
        <v>1700</v>
      </c>
      <c r="B237" s="2">
        <v>44568</v>
      </c>
      <c r="C237" t="s">
        <v>15</v>
      </c>
      <c r="D237" t="s">
        <v>21</v>
      </c>
      <c r="E237" t="s">
        <v>26</v>
      </c>
      <c r="F237" t="s">
        <v>31</v>
      </c>
      <c r="G237">
        <v>8</v>
      </c>
      <c r="H237">
        <v>139</v>
      </c>
      <c r="I237">
        <v>0.1</v>
      </c>
      <c r="J237">
        <v>1000.8</v>
      </c>
      <c r="K237">
        <v>52.374771280738749</v>
      </c>
      <c r="L237" t="s">
        <v>32</v>
      </c>
      <c r="M237" t="s">
        <v>34</v>
      </c>
    </row>
    <row r="238" spans="1:13" x14ac:dyDescent="0.2">
      <c r="A238">
        <v>1020</v>
      </c>
      <c r="B238" s="2">
        <v>44569</v>
      </c>
      <c r="C238" t="s">
        <v>17</v>
      </c>
      <c r="D238" t="s">
        <v>23</v>
      </c>
      <c r="E238" t="s">
        <v>24</v>
      </c>
      <c r="F238" t="s">
        <v>28</v>
      </c>
      <c r="G238">
        <v>2</v>
      </c>
      <c r="H238">
        <v>229</v>
      </c>
      <c r="J238">
        <v>458</v>
      </c>
      <c r="K238">
        <v>51.144729987725839</v>
      </c>
      <c r="L238" t="s">
        <v>32</v>
      </c>
      <c r="M238" t="s">
        <v>34</v>
      </c>
    </row>
    <row r="239" spans="1:13" x14ac:dyDescent="0.2">
      <c r="A239">
        <v>1085</v>
      </c>
      <c r="B239" s="2">
        <v>44777</v>
      </c>
      <c r="C239" t="s">
        <v>18</v>
      </c>
      <c r="D239" t="s">
        <v>23</v>
      </c>
      <c r="E239" t="s">
        <v>24</v>
      </c>
      <c r="F239" t="s">
        <v>28</v>
      </c>
      <c r="G239">
        <v>2</v>
      </c>
      <c r="H239">
        <v>347</v>
      </c>
      <c r="I239">
        <v>0.2</v>
      </c>
      <c r="J239">
        <v>555.20000000000005</v>
      </c>
      <c r="K239">
        <v>137.80819336189691</v>
      </c>
      <c r="L239" t="s">
        <v>33</v>
      </c>
      <c r="M239" t="s">
        <v>36</v>
      </c>
    </row>
    <row r="240" spans="1:13" x14ac:dyDescent="0.2">
      <c r="A240">
        <v>1317</v>
      </c>
      <c r="B240" s="2">
        <v>44814</v>
      </c>
      <c r="C240" t="s">
        <v>14</v>
      </c>
      <c r="D240" t="s">
        <v>22</v>
      </c>
      <c r="E240" t="s">
        <v>26</v>
      </c>
      <c r="F240" t="s">
        <v>29</v>
      </c>
      <c r="G240">
        <v>8</v>
      </c>
      <c r="H240">
        <v>257</v>
      </c>
      <c r="I240">
        <v>0.3</v>
      </c>
      <c r="J240">
        <v>1439.2</v>
      </c>
      <c r="K240">
        <v>273.36009497308999</v>
      </c>
      <c r="L240" t="s">
        <v>32</v>
      </c>
      <c r="M240" t="s">
        <v>36</v>
      </c>
    </row>
    <row r="241" spans="1:13" x14ac:dyDescent="0.2">
      <c r="A241">
        <v>1384</v>
      </c>
      <c r="B241" s="2">
        <v>44854</v>
      </c>
      <c r="C241" t="s">
        <v>16</v>
      </c>
      <c r="D241" t="s">
        <v>21</v>
      </c>
      <c r="E241" t="s">
        <v>25</v>
      </c>
      <c r="F241" t="s">
        <v>27</v>
      </c>
      <c r="G241">
        <v>6</v>
      </c>
      <c r="H241">
        <v>43</v>
      </c>
      <c r="I241">
        <v>0.1</v>
      </c>
      <c r="J241">
        <v>232.2</v>
      </c>
      <c r="K241">
        <v>21.761867428064441</v>
      </c>
      <c r="L241" t="s">
        <v>32</v>
      </c>
      <c r="M241" t="s">
        <v>34</v>
      </c>
    </row>
    <row r="242" spans="1:13" x14ac:dyDescent="0.2">
      <c r="A242">
        <v>1189</v>
      </c>
      <c r="B242" s="2">
        <v>44798</v>
      </c>
      <c r="C242" t="s">
        <v>13</v>
      </c>
      <c r="D242" t="s">
        <v>20</v>
      </c>
      <c r="E242" t="s">
        <v>24</v>
      </c>
      <c r="F242" t="s">
        <v>28</v>
      </c>
      <c r="G242">
        <v>9</v>
      </c>
      <c r="H242">
        <v>316</v>
      </c>
      <c r="I242">
        <v>0.3</v>
      </c>
      <c r="J242">
        <v>1990.8</v>
      </c>
      <c r="K242">
        <v>318.6889653219273</v>
      </c>
      <c r="L242" t="s">
        <v>32</v>
      </c>
      <c r="M242" t="s">
        <v>36</v>
      </c>
    </row>
    <row r="243" spans="1:13" x14ac:dyDescent="0.2">
      <c r="A243">
        <v>1960</v>
      </c>
      <c r="B243" s="2">
        <v>44734</v>
      </c>
      <c r="C243" t="s">
        <v>17</v>
      </c>
      <c r="D243" t="s">
        <v>23</v>
      </c>
      <c r="E243" t="s">
        <v>26</v>
      </c>
      <c r="F243" t="s">
        <v>29</v>
      </c>
      <c r="G243">
        <v>5</v>
      </c>
      <c r="H243">
        <v>443</v>
      </c>
      <c r="I243">
        <v>0</v>
      </c>
      <c r="J243">
        <v>2215</v>
      </c>
      <c r="K243">
        <v>202.54765161541391</v>
      </c>
      <c r="L243" t="s">
        <v>33</v>
      </c>
      <c r="M243" t="s">
        <v>35</v>
      </c>
    </row>
    <row r="244" spans="1:13" x14ac:dyDescent="0.2">
      <c r="A244">
        <v>1931</v>
      </c>
      <c r="B244" s="2">
        <v>44648</v>
      </c>
      <c r="C244" t="s">
        <v>18</v>
      </c>
      <c r="D244" t="s">
        <v>20</v>
      </c>
      <c r="E244" t="s">
        <v>26</v>
      </c>
      <c r="F244" t="s">
        <v>28</v>
      </c>
      <c r="G244">
        <v>5</v>
      </c>
      <c r="H244">
        <v>290</v>
      </c>
      <c r="J244">
        <v>1450</v>
      </c>
      <c r="K244">
        <v>139.3726417609443</v>
      </c>
      <c r="L244" t="s">
        <v>32</v>
      </c>
      <c r="M244" t="s">
        <v>35</v>
      </c>
    </row>
    <row r="245" spans="1:13" x14ac:dyDescent="0.2">
      <c r="A245">
        <v>1270</v>
      </c>
      <c r="B245" s="2">
        <v>44670</v>
      </c>
      <c r="C245" t="s">
        <v>14</v>
      </c>
      <c r="D245" t="s">
        <v>23</v>
      </c>
      <c r="E245" t="s">
        <v>26</v>
      </c>
      <c r="F245" t="s">
        <v>30</v>
      </c>
      <c r="G245">
        <v>2</v>
      </c>
      <c r="H245">
        <v>335</v>
      </c>
      <c r="I245">
        <v>0.1</v>
      </c>
      <c r="J245">
        <v>603</v>
      </c>
      <c r="K245">
        <v>96.005243419238312</v>
      </c>
      <c r="L245" t="s">
        <v>32</v>
      </c>
      <c r="M245" t="s">
        <v>35</v>
      </c>
    </row>
    <row r="246" spans="1:13" x14ac:dyDescent="0.2">
      <c r="A246">
        <v>1233</v>
      </c>
      <c r="B246" s="2">
        <v>44818</v>
      </c>
      <c r="C246" t="s">
        <v>16</v>
      </c>
      <c r="D246" t="s">
        <v>22</v>
      </c>
      <c r="E246" t="s">
        <v>25</v>
      </c>
      <c r="F246" t="s">
        <v>31</v>
      </c>
      <c r="G246">
        <v>1</v>
      </c>
      <c r="H246">
        <v>240</v>
      </c>
      <c r="I246">
        <v>0.3</v>
      </c>
      <c r="J246">
        <v>168</v>
      </c>
      <c r="K246">
        <v>11.73507655500724</v>
      </c>
      <c r="L246" t="s">
        <v>32</v>
      </c>
      <c r="M246" t="s">
        <v>34</v>
      </c>
    </row>
    <row r="247" spans="1:13" x14ac:dyDescent="0.2">
      <c r="A247">
        <v>1027</v>
      </c>
      <c r="B247" s="2">
        <v>44786</v>
      </c>
      <c r="C247" t="s">
        <v>13</v>
      </c>
      <c r="D247" t="s">
        <v>21</v>
      </c>
      <c r="E247" t="s">
        <v>25</v>
      </c>
      <c r="F247" t="s">
        <v>29</v>
      </c>
      <c r="G247">
        <v>4</v>
      </c>
      <c r="H247">
        <v>26</v>
      </c>
      <c r="J247">
        <v>104</v>
      </c>
      <c r="K247">
        <v>25.824795111394611</v>
      </c>
      <c r="L247" t="s">
        <v>32</v>
      </c>
      <c r="M247" t="s">
        <v>35</v>
      </c>
    </row>
    <row r="248" spans="1:13" x14ac:dyDescent="0.2">
      <c r="A248">
        <v>1510</v>
      </c>
      <c r="B248" s="2">
        <v>44603</v>
      </c>
      <c r="C248" t="s">
        <v>13</v>
      </c>
      <c r="D248" t="s">
        <v>22</v>
      </c>
      <c r="E248" t="s">
        <v>24</v>
      </c>
      <c r="F248" t="s">
        <v>28</v>
      </c>
      <c r="G248">
        <v>2</v>
      </c>
      <c r="H248">
        <v>290</v>
      </c>
      <c r="I248">
        <v>0</v>
      </c>
      <c r="J248">
        <v>580</v>
      </c>
      <c r="K248">
        <v>29.46664822262041</v>
      </c>
      <c r="L248" t="s">
        <v>33</v>
      </c>
      <c r="M248" t="s">
        <v>35</v>
      </c>
    </row>
    <row r="249" spans="1:13" x14ac:dyDescent="0.2">
      <c r="A249">
        <v>1397</v>
      </c>
      <c r="B249" s="2">
        <v>44745</v>
      </c>
      <c r="C249" t="s">
        <v>14</v>
      </c>
      <c r="D249" t="s">
        <v>21</v>
      </c>
      <c r="E249" t="s">
        <v>24</v>
      </c>
      <c r="F249" t="s">
        <v>30</v>
      </c>
      <c r="G249">
        <v>6</v>
      </c>
      <c r="H249">
        <v>96</v>
      </c>
      <c r="I249">
        <v>0</v>
      </c>
      <c r="J249">
        <v>576</v>
      </c>
      <c r="K249">
        <v>94.93054237396197</v>
      </c>
      <c r="L249" t="s">
        <v>32</v>
      </c>
      <c r="M249" t="s">
        <v>35</v>
      </c>
    </row>
    <row r="250" spans="1:13" x14ac:dyDescent="0.2">
      <c r="A250">
        <v>1566</v>
      </c>
      <c r="B250" s="2">
        <v>44615</v>
      </c>
      <c r="C250" t="s">
        <v>15</v>
      </c>
      <c r="D250" t="s">
        <v>23</v>
      </c>
      <c r="E250" t="s">
        <v>25</v>
      </c>
      <c r="F250" t="s">
        <v>29</v>
      </c>
      <c r="G250">
        <v>8</v>
      </c>
      <c r="H250">
        <v>478</v>
      </c>
      <c r="I250">
        <v>0.1</v>
      </c>
      <c r="J250">
        <v>3441.6</v>
      </c>
      <c r="K250">
        <v>691.32078833958963</v>
      </c>
      <c r="L250" t="s">
        <v>32</v>
      </c>
      <c r="M250" t="s">
        <v>35</v>
      </c>
    </row>
    <row r="251" spans="1:13" x14ac:dyDescent="0.2">
      <c r="A251">
        <v>1484</v>
      </c>
      <c r="B251" s="2">
        <v>44764</v>
      </c>
      <c r="C251" t="s">
        <v>14</v>
      </c>
      <c r="D251" t="s">
        <v>23</v>
      </c>
      <c r="E251" t="s">
        <v>24</v>
      </c>
      <c r="F251" t="s">
        <v>31</v>
      </c>
      <c r="G251">
        <v>8</v>
      </c>
      <c r="H251">
        <v>470</v>
      </c>
      <c r="I251">
        <v>0.3</v>
      </c>
      <c r="J251">
        <v>2632</v>
      </c>
      <c r="K251">
        <v>436.86684594251489</v>
      </c>
      <c r="L251" t="s">
        <v>32</v>
      </c>
      <c r="M251" t="s">
        <v>36</v>
      </c>
    </row>
    <row r="252" spans="1:13" x14ac:dyDescent="0.2">
      <c r="A252">
        <v>1804</v>
      </c>
      <c r="B252" s="2">
        <v>44727</v>
      </c>
      <c r="C252" t="s">
        <v>14</v>
      </c>
      <c r="D252" t="s">
        <v>21</v>
      </c>
      <c r="E252" t="s">
        <v>24</v>
      </c>
      <c r="F252" t="s">
        <v>30</v>
      </c>
      <c r="G252">
        <v>1</v>
      </c>
      <c r="H252">
        <v>99</v>
      </c>
      <c r="I252">
        <v>0.1</v>
      </c>
      <c r="J252">
        <v>89.100000000000009</v>
      </c>
      <c r="K252">
        <v>20.555688603968971</v>
      </c>
      <c r="L252" t="s">
        <v>32</v>
      </c>
      <c r="M252" t="s">
        <v>36</v>
      </c>
    </row>
    <row r="253" spans="1:13" x14ac:dyDescent="0.2">
      <c r="A253">
        <v>1564</v>
      </c>
      <c r="B253" s="2">
        <v>44634</v>
      </c>
      <c r="C253" t="s">
        <v>15</v>
      </c>
      <c r="D253" t="s">
        <v>20</v>
      </c>
      <c r="E253" t="s">
        <v>25</v>
      </c>
      <c r="F253" t="s">
        <v>31</v>
      </c>
      <c r="G253">
        <v>2</v>
      </c>
      <c r="H253">
        <v>406</v>
      </c>
      <c r="J253">
        <v>812</v>
      </c>
      <c r="K253">
        <v>162.039734694939</v>
      </c>
      <c r="L253" t="s">
        <v>32</v>
      </c>
      <c r="M253" t="s">
        <v>35</v>
      </c>
    </row>
    <row r="254" spans="1:13" x14ac:dyDescent="0.2">
      <c r="A254">
        <v>1130</v>
      </c>
      <c r="B254" s="2">
        <v>44619</v>
      </c>
      <c r="C254" t="s">
        <v>18</v>
      </c>
      <c r="D254" t="s">
        <v>22</v>
      </c>
      <c r="E254" t="s">
        <v>24</v>
      </c>
      <c r="F254" t="s">
        <v>27</v>
      </c>
      <c r="G254">
        <v>7</v>
      </c>
      <c r="H254">
        <v>401</v>
      </c>
      <c r="I254">
        <v>0.1</v>
      </c>
      <c r="J254">
        <v>2526.3000000000002</v>
      </c>
      <c r="K254">
        <v>647.39558123447273</v>
      </c>
      <c r="L254" t="s">
        <v>32</v>
      </c>
      <c r="M254" t="s">
        <v>36</v>
      </c>
    </row>
    <row r="255" spans="1:13" x14ac:dyDescent="0.2">
      <c r="A255">
        <v>1372</v>
      </c>
      <c r="B255" s="2">
        <v>44577</v>
      </c>
      <c r="C255" t="s">
        <v>17</v>
      </c>
      <c r="D255" t="s">
        <v>21</v>
      </c>
      <c r="E255" t="s">
        <v>25</v>
      </c>
      <c r="F255" t="s">
        <v>30</v>
      </c>
      <c r="G255">
        <v>7</v>
      </c>
      <c r="H255">
        <v>270</v>
      </c>
      <c r="I255">
        <v>0.2</v>
      </c>
      <c r="J255">
        <v>1512</v>
      </c>
      <c r="K255">
        <v>352.70094989921711</v>
      </c>
      <c r="L255" t="s">
        <v>32</v>
      </c>
      <c r="M255" t="s">
        <v>35</v>
      </c>
    </row>
    <row r="256" spans="1:13" x14ac:dyDescent="0.2">
      <c r="A256">
        <v>1156</v>
      </c>
      <c r="B256" s="2">
        <v>44691</v>
      </c>
      <c r="C256" t="s">
        <v>19</v>
      </c>
      <c r="D256" t="s">
        <v>21</v>
      </c>
      <c r="E256" t="s">
        <v>25</v>
      </c>
      <c r="F256" t="s">
        <v>27</v>
      </c>
      <c r="G256">
        <v>7</v>
      </c>
      <c r="H256">
        <v>136</v>
      </c>
      <c r="I256">
        <v>0.1</v>
      </c>
      <c r="J256">
        <v>856.80000000000007</v>
      </c>
      <c r="K256">
        <v>147.27774968483891</v>
      </c>
      <c r="L256" t="s">
        <v>32</v>
      </c>
      <c r="M256" t="s">
        <v>34</v>
      </c>
    </row>
    <row r="257" spans="1:13" x14ac:dyDescent="0.2">
      <c r="A257">
        <v>1276</v>
      </c>
      <c r="B257" s="2">
        <v>44592</v>
      </c>
      <c r="C257" t="s">
        <v>17</v>
      </c>
      <c r="D257" t="s">
        <v>22</v>
      </c>
      <c r="E257" t="s">
        <v>25</v>
      </c>
      <c r="F257" t="s">
        <v>31</v>
      </c>
      <c r="G257">
        <v>6</v>
      </c>
      <c r="H257">
        <v>77</v>
      </c>
      <c r="J257">
        <v>462</v>
      </c>
      <c r="K257">
        <v>58.397286889119833</v>
      </c>
      <c r="L257" t="s">
        <v>32</v>
      </c>
      <c r="M257" t="s">
        <v>36</v>
      </c>
    </row>
    <row r="258" spans="1:13" x14ac:dyDescent="0.2">
      <c r="A258">
        <v>1224</v>
      </c>
      <c r="B258" s="2">
        <v>44853</v>
      </c>
      <c r="C258" t="s">
        <v>18</v>
      </c>
      <c r="D258" t="s">
        <v>21</v>
      </c>
      <c r="E258" t="s">
        <v>25</v>
      </c>
      <c r="F258" t="s">
        <v>29</v>
      </c>
      <c r="G258">
        <v>5</v>
      </c>
      <c r="H258">
        <v>464</v>
      </c>
      <c r="I258">
        <v>0.3</v>
      </c>
      <c r="J258">
        <v>1624</v>
      </c>
      <c r="K258">
        <v>109.47430615393669</v>
      </c>
      <c r="L258" t="s">
        <v>32</v>
      </c>
      <c r="M258" t="s">
        <v>36</v>
      </c>
    </row>
    <row r="259" spans="1:13" x14ac:dyDescent="0.2">
      <c r="A259">
        <v>1797</v>
      </c>
      <c r="B259" s="2">
        <v>44790</v>
      </c>
      <c r="C259" t="s">
        <v>14</v>
      </c>
      <c r="D259" t="s">
        <v>23</v>
      </c>
      <c r="E259" t="s">
        <v>25</v>
      </c>
      <c r="F259" t="s">
        <v>31</v>
      </c>
      <c r="G259">
        <v>8</v>
      </c>
      <c r="H259">
        <v>407</v>
      </c>
      <c r="I259">
        <v>0.3</v>
      </c>
      <c r="J259">
        <v>2279.1999999999998</v>
      </c>
      <c r="K259">
        <v>271.74017690787548</v>
      </c>
      <c r="L259" t="s">
        <v>32</v>
      </c>
      <c r="M259" t="s">
        <v>34</v>
      </c>
    </row>
    <row r="260" spans="1:13" x14ac:dyDescent="0.2">
      <c r="A260">
        <v>1035</v>
      </c>
      <c r="B260" s="2">
        <v>44771</v>
      </c>
      <c r="C260" t="s">
        <v>18</v>
      </c>
      <c r="D260" t="s">
        <v>21</v>
      </c>
      <c r="E260" t="s">
        <v>26</v>
      </c>
      <c r="F260" t="s">
        <v>27</v>
      </c>
      <c r="G260">
        <v>9</v>
      </c>
      <c r="H260">
        <v>242</v>
      </c>
      <c r="I260">
        <v>0.1</v>
      </c>
      <c r="J260">
        <v>1960.2</v>
      </c>
      <c r="K260">
        <v>284.43482467908092</v>
      </c>
      <c r="L260" t="s">
        <v>32</v>
      </c>
      <c r="M260" t="s">
        <v>34</v>
      </c>
    </row>
    <row r="261" spans="1:13" x14ac:dyDescent="0.2">
      <c r="A261">
        <v>1385</v>
      </c>
      <c r="B261" s="2">
        <v>44837</v>
      </c>
      <c r="C261" t="s">
        <v>18</v>
      </c>
      <c r="D261" t="s">
        <v>21</v>
      </c>
      <c r="E261" t="s">
        <v>26</v>
      </c>
      <c r="F261" t="s">
        <v>27</v>
      </c>
      <c r="G261">
        <v>4</v>
      </c>
      <c r="H261">
        <v>221</v>
      </c>
      <c r="I261">
        <v>0.3</v>
      </c>
      <c r="J261">
        <v>618.79999999999995</v>
      </c>
      <c r="K261">
        <v>68.048525243344642</v>
      </c>
      <c r="L261" t="s">
        <v>32</v>
      </c>
      <c r="M261" t="s">
        <v>35</v>
      </c>
    </row>
    <row r="262" spans="1:13" x14ac:dyDescent="0.2">
      <c r="A262">
        <v>1230</v>
      </c>
      <c r="B262" s="2">
        <v>44797</v>
      </c>
      <c r="C262" t="s">
        <v>13</v>
      </c>
      <c r="D262" t="s">
        <v>22</v>
      </c>
      <c r="E262" t="s">
        <v>24</v>
      </c>
      <c r="F262" t="s">
        <v>27</v>
      </c>
      <c r="G262">
        <v>8</v>
      </c>
      <c r="H262">
        <v>146</v>
      </c>
      <c r="I262">
        <v>0.1</v>
      </c>
      <c r="J262">
        <v>1051.2</v>
      </c>
      <c r="K262">
        <v>92.533005630813321</v>
      </c>
      <c r="L262" t="s">
        <v>32</v>
      </c>
      <c r="M262" t="s">
        <v>34</v>
      </c>
    </row>
    <row r="263" spans="1:13" x14ac:dyDescent="0.2">
      <c r="A263">
        <v>1555</v>
      </c>
      <c r="B263" s="2">
        <v>44788</v>
      </c>
      <c r="C263" t="s">
        <v>14</v>
      </c>
      <c r="D263" t="s">
        <v>23</v>
      </c>
      <c r="E263" t="s">
        <v>25</v>
      </c>
      <c r="F263" t="s">
        <v>30</v>
      </c>
      <c r="G263">
        <v>2</v>
      </c>
      <c r="H263">
        <v>103</v>
      </c>
      <c r="I263">
        <v>0.1</v>
      </c>
      <c r="J263">
        <v>185.4</v>
      </c>
      <c r="K263">
        <v>49.000258561892203</v>
      </c>
      <c r="L263" t="s">
        <v>32</v>
      </c>
      <c r="M263" t="s">
        <v>35</v>
      </c>
    </row>
    <row r="264" spans="1:13" x14ac:dyDescent="0.2">
      <c r="A264">
        <v>1818</v>
      </c>
      <c r="B264" s="2">
        <v>44817</v>
      </c>
      <c r="C264" t="s">
        <v>17</v>
      </c>
      <c r="D264" t="s">
        <v>21</v>
      </c>
      <c r="E264" t="s">
        <v>24</v>
      </c>
      <c r="F264" t="s">
        <v>31</v>
      </c>
      <c r="G264">
        <v>8</v>
      </c>
      <c r="H264">
        <v>411</v>
      </c>
      <c r="I264">
        <v>0</v>
      </c>
      <c r="J264">
        <v>3288</v>
      </c>
      <c r="K264">
        <v>896.19211958063329</v>
      </c>
      <c r="L264" t="s">
        <v>32</v>
      </c>
      <c r="M264" t="s">
        <v>34</v>
      </c>
    </row>
    <row r="265" spans="1:13" x14ac:dyDescent="0.2">
      <c r="A265">
        <v>1674</v>
      </c>
      <c r="B265" s="2">
        <v>44707</v>
      </c>
      <c r="C265" t="s">
        <v>19</v>
      </c>
      <c r="D265" t="s">
        <v>23</v>
      </c>
      <c r="E265" t="s">
        <v>26</v>
      </c>
      <c r="F265" t="s">
        <v>27</v>
      </c>
      <c r="G265">
        <v>2</v>
      </c>
      <c r="H265">
        <v>185</v>
      </c>
      <c r="I265">
        <v>0.1</v>
      </c>
      <c r="J265">
        <v>333</v>
      </c>
      <c r="K265">
        <v>38.308136097590761</v>
      </c>
      <c r="L265" t="s">
        <v>33</v>
      </c>
      <c r="M265" t="s">
        <v>34</v>
      </c>
    </row>
    <row r="266" spans="1:13" x14ac:dyDescent="0.2">
      <c r="A266">
        <v>1058</v>
      </c>
      <c r="B266" s="2">
        <v>44602</v>
      </c>
      <c r="C266" t="s">
        <v>16</v>
      </c>
      <c r="D266" t="s">
        <v>23</v>
      </c>
      <c r="E266" t="s">
        <v>26</v>
      </c>
      <c r="F266" t="s">
        <v>27</v>
      </c>
      <c r="G266">
        <v>5</v>
      </c>
      <c r="H266">
        <v>58</v>
      </c>
      <c r="I266">
        <v>0.2</v>
      </c>
      <c r="J266">
        <v>232</v>
      </c>
      <c r="K266">
        <v>51.945852496814801</v>
      </c>
      <c r="L266" t="s">
        <v>32</v>
      </c>
      <c r="M266" t="s">
        <v>34</v>
      </c>
    </row>
    <row r="267" spans="1:13" x14ac:dyDescent="0.2">
      <c r="A267">
        <v>1385</v>
      </c>
      <c r="B267" s="2">
        <v>44589</v>
      </c>
      <c r="C267" t="s">
        <v>16</v>
      </c>
      <c r="D267" t="s">
        <v>22</v>
      </c>
      <c r="E267" t="s">
        <v>24</v>
      </c>
      <c r="F267" t="s">
        <v>27</v>
      </c>
      <c r="G267">
        <v>6</v>
      </c>
      <c r="H267">
        <v>435</v>
      </c>
      <c r="I267">
        <v>0.1</v>
      </c>
      <c r="J267">
        <v>2349</v>
      </c>
      <c r="K267">
        <v>333.52320620214908</v>
      </c>
      <c r="L267" t="s">
        <v>32</v>
      </c>
      <c r="M267" t="s">
        <v>34</v>
      </c>
    </row>
    <row r="268" spans="1:13" x14ac:dyDescent="0.2">
      <c r="A268">
        <v>1806</v>
      </c>
      <c r="B268" s="2">
        <v>44836</v>
      </c>
      <c r="C268" t="s">
        <v>17</v>
      </c>
      <c r="D268" t="s">
        <v>21</v>
      </c>
      <c r="E268" t="s">
        <v>25</v>
      </c>
      <c r="F268" t="s">
        <v>29</v>
      </c>
      <c r="G268">
        <v>2</v>
      </c>
      <c r="H268">
        <v>431</v>
      </c>
      <c r="J268">
        <v>862</v>
      </c>
      <c r="K268">
        <v>64.787376621821437</v>
      </c>
      <c r="L268" t="s">
        <v>32</v>
      </c>
      <c r="M268" t="s">
        <v>36</v>
      </c>
    </row>
    <row r="269" spans="1:13" x14ac:dyDescent="0.2">
      <c r="A269">
        <v>1471</v>
      </c>
      <c r="B269" s="2">
        <v>44701</v>
      </c>
      <c r="C269" t="s">
        <v>14</v>
      </c>
      <c r="D269" t="s">
        <v>20</v>
      </c>
      <c r="E269" t="s">
        <v>24</v>
      </c>
      <c r="F269" t="s">
        <v>27</v>
      </c>
      <c r="G269">
        <v>7</v>
      </c>
      <c r="H269">
        <v>293</v>
      </c>
      <c r="I269">
        <v>0</v>
      </c>
      <c r="J269">
        <v>2051</v>
      </c>
      <c r="K269">
        <v>442.90816158653342</v>
      </c>
      <c r="L269" t="s">
        <v>32</v>
      </c>
      <c r="M269" t="s">
        <v>36</v>
      </c>
    </row>
    <row r="270" spans="1:13" x14ac:dyDescent="0.2">
      <c r="A270">
        <v>1524</v>
      </c>
      <c r="B270" s="2">
        <v>44772</v>
      </c>
      <c r="C270" t="s">
        <v>17</v>
      </c>
      <c r="D270" t="s">
        <v>21</v>
      </c>
      <c r="E270" t="s">
        <v>25</v>
      </c>
      <c r="F270" t="s">
        <v>28</v>
      </c>
      <c r="G270">
        <v>3</v>
      </c>
      <c r="H270">
        <v>435</v>
      </c>
      <c r="I270">
        <v>0.3</v>
      </c>
      <c r="J270">
        <v>913.49999999999989</v>
      </c>
      <c r="K270">
        <v>222.80535645507169</v>
      </c>
      <c r="L270" t="s">
        <v>32</v>
      </c>
      <c r="M270" t="s">
        <v>34</v>
      </c>
    </row>
    <row r="271" spans="1:13" x14ac:dyDescent="0.2">
      <c r="A271">
        <v>1661</v>
      </c>
      <c r="B271" s="2">
        <v>44582</v>
      </c>
      <c r="C271" t="s">
        <v>14</v>
      </c>
      <c r="D271" t="s">
        <v>20</v>
      </c>
      <c r="E271" t="s">
        <v>26</v>
      </c>
      <c r="F271" t="s">
        <v>27</v>
      </c>
      <c r="G271">
        <v>4</v>
      </c>
      <c r="H271">
        <v>26</v>
      </c>
      <c r="J271">
        <v>104</v>
      </c>
      <c r="K271">
        <v>19.60988936743243</v>
      </c>
      <c r="L271" t="s">
        <v>32</v>
      </c>
      <c r="M271" t="s">
        <v>34</v>
      </c>
    </row>
    <row r="272" spans="1:13" x14ac:dyDescent="0.2">
      <c r="A272">
        <v>1899</v>
      </c>
      <c r="B272" s="2">
        <v>44762</v>
      </c>
      <c r="C272" t="s">
        <v>15</v>
      </c>
      <c r="D272" t="s">
        <v>20</v>
      </c>
      <c r="E272" t="s">
        <v>24</v>
      </c>
      <c r="F272" t="s">
        <v>28</v>
      </c>
      <c r="G272">
        <v>1</v>
      </c>
      <c r="H272">
        <v>478</v>
      </c>
      <c r="I272">
        <v>0.1</v>
      </c>
      <c r="J272">
        <v>430.2</v>
      </c>
      <c r="K272">
        <v>24.431856152808962</v>
      </c>
      <c r="L272" t="s">
        <v>33</v>
      </c>
      <c r="M272" t="s">
        <v>34</v>
      </c>
    </row>
    <row r="273" spans="1:13" x14ac:dyDescent="0.2">
      <c r="A273">
        <v>1105</v>
      </c>
      <c r="B273" s="2">
        <v>44655</v>
      </c>
      <c r="C273" t="s">
        <v>15</v>
      </c>
      <c r="D273" t="s">
        <v>21</v>
      </c>
      <c r="E273" t="s">
        <v>25</v>
      </c>
      <c r="F273" t="s">
        <v>30</v>
      </c>
      <c r="G273">
        <v>1</v>
      </c>
      <c r="H273">
        <v>164</v>
      </c>
      <c r="J273">
        <v>164</v>
      </c>
      <c r="K273">
        <v>29.44122941579144</v>
      </c>
      <c r="L273" t="s">
        <v>32</v>
      </c>
      <c r="M273" t="s">
        <v>36</v>
      </c>
    </row>
    <row r="274" spans="1:13" x14ac:dyDescent="0.2">
      <c r="A274">
        <v>1466</v>
      </c>
      <c r="B274" s="2">
        <v>44572</v>
      </c>
      <c r="C274" t="s">
        <v>13</v>
      </c>
      <c r="D274" t="s">
        <v>20</v>
      </c>
      <c r="E274" t="s">
        <v>24</v>
      </c>
      <c r="F274" t="s">
        <v>30</v>
      </c>
      <c r="G274">
        <v>9</v>
      </c>
      <c r="H274">
        <v>211</v>
      </c>
      <c r="I274">
        <v>0.1</v>
      </c>
      <c r="J274">
        <v>1709.1</v>
      </c>
      <c r="K274">
        <v>127.8313225011277</v>
      </c>
      <c r="L274" t="s">
        <v>32</v>
      </c>
      <c r="M274" t="s">
        <v>36</v>
      </c>
    </row>
    <row r="275" spans="1:13" x14ac:dyDescent="0.2">
      <c r="A275">
        <v>1343</v>
      </c>
      <c r="B275" s="2">
        <v>44585</v>
      </c>
      <c r="C275" t="s">
        <v>13</v>
      </c>
      <c r="D275" t="s">
        <v>21</v>
      </c>
      <c r="E275" t="s">
        <v>24</v>
      </c>
      <c r="F275" t="s">
        <v>28</v>
      </c>
      <c r="G275">
        <v>2</v>
      </c>
      <c r="H275">
        <v>52</v>
      </c>
      <c r="I275">
        <v>0</v>
      </c>
      <c r="J275">
        <v>104</v>
      </c>
      <c r="K275">
        <v>6.118095228446216</v>
      </c>
      <c r="L275" t="s">
        <v>32</v>
      </c>
      <c r="M275" t="s">
        <v>35</v>
      </c>
    </row>
    <row r="276" spans="1:13" x14ac:dyDescent="0.2">
      <c r="A276">
        <v>1555</v>
      </c>
      <c r="B276" s="2">
        <v>44662</v>
      </c>
      <c r="C276" t="s">
        <v>13</v>
      </c>
      <c r="D276" t="s">
        <v>21</v>
      </c>
      <c r="E276" t="s">
        <v>25</v>
      </c>
      <c r="F276" t="s">
        <v>29</v>
      </c>
      <c r="G276">
        <v>5</v>
      </c>
      <c r="H276">
        <v>69</v>
      </c>
      <c r="I276">
        <v>0.1</v>
      </c>
      <c r="J276">
        <v>310.5</v>
      </c>
      <c r="K276">
        <v>29.97112256031728</v>
      </c>
      <c r="L276" t="s">
        <v>32</v>
      </c>
      <c r="M276" t="s">
        <v>34</v>
      </c>
    </row>
    <row r="277" spans="1:13" x14ac:dyDescent="0.2">
      <c r="A277">
        <v>1330</v>
      </c>
      <c r="B277" s="2">
        <v>44574</v>
      </c>
      <c r="C277" t="s">
        <v>14</v>
      </c>
      <c r="D277" t="s">
        <v>21</v>
      </c>
      <c r="E277" t="s">
        <v>26</v>
      </c>
      <c r="F277" t="s">
        <v>29</v>
      </c>
      <c r="G277">
        <v>6</v>
      </c>
      <c r="H277">
        <v>304</v>
      </c>
      <c r="I277">
        <v>0.3</v>
      </c>
      <c r="J277">
        <v>1276.8</v>
      </c>
      <c r="K277">
        <v>319.2226532087717</v>
      </c>
      <c r="L277" t="s">
        <v>32</v>
      </c>
      <c r="M277" t="s">
        <v>36</v>
      </c>
    </row>
    <row r="278" spans="1:13" x14ac:dyDescent="0.2">
      <c r="A278">
        <v>1472</v>
      </c>
      <c r="B278" s="2">
        <v>44796</v>
      </c>
      <c r="C278" t="s">
        <v>13</v>
      </c>
      <c r="D278" t="s">
        <v>22</v>
      </c>
      <c r="E278" t="s">
        <v>24</v>
      </c>
      <c r="F278" t="s">
        <v>31</v>
      </c>
      <c r="G278">
        <v>9</v>
      </c>
      <c r="H278">
        <v>22</v>
      </c>
      <c r="I278">
        <v>0.2</v>
      </c>
      <c r="J278">
        <v>158.4</v>
      </c>
      <c r="K278">
        <v>33.829985072068489</v>
      </c>
      <c r="L278" t="s">
        <v>33</v>
      </c>
      <c r="M278" t="s">
        <v>34</v>
      </c>
    </row>
    <row r="279" spans="1:13" x14ac:dyDescent="0.2">
      <c r="A279">
        <v>1838</v>
      </c>
      <c r="B279" s="2">
        <v>44774</v>
      </c>
      <c r="C279" t="s">
        <v>14</v>
      </c>
      <c r="D279" t="s">
        <v>20</v>
      </c>
      <c r="E279" t="s">
        <v>25</v>
      </c>
      <c r="F279" t="s">
        <v>27</v>
      </c>
      <c r="G279">
        <v>1</v>
      </c>
      <c r="H279">
        <v>389</v>
      </c>
      <c r="I279">
        <v>0.2</v>
      </c>
      <c r="J279">
        <v>311.2</v>
      </c>
      <c r="K279">
        <v>31.413030520134221</v>
      </c>
      <c r="L279" t="s">
        <v>32</v>
      </c>
      <c r="M279" t="s">
        <v>36</v>
      </c>
    </row>
    <row r="280" spans="1:13" x14ac:dyDescent="0.2">
      <c r="A280">
        <v>1769</v>
      </c>
      <c r="B280" s="2">
        <v>44584</v>
      </c>
      <c r="C280" t="s">
        <v>16</v>
      </c>
      <c r="D280" t="s">
        <v>20</v>
      </c>
      <c r="E280" t="s">
        <v>26</v>
      </c>
      <c r="F280" t="s">
        <v>27</v>
      </c>
      <c r="G280">
        <v>6</v>
      </c>
      <c r="H280">
        <v>414</v>
      </c>
      <c r="J280">
        <v>2484</v>
      </c>
      <c r="K280">
        <v>596.77526197744623</v>
      </c>
      <c r="L280" t="s">
        <v>32</v>
      </c>
      <c r="M280" t="s">
        <v>36</v>
      </c>
    </row>
    <row r="281" spans="1:13" x14ac:dyDescent="0.2">
      <c r="A281">
        <v>1612</v>
      </c>
      <c r="B281" s="2">
        <v>44736</v>
      </c>
      <c r="C281" t="s">
        <v>17</v>
      </c>
      <c r="D281" t="s">
        <v>22</v>
      </c>
      <c r="E281" t="s">
        <v>25</v>
      </c>
      <c r="F281" t="s">
        <v>30</v>
      </c>
      <c r="G281">
        <v>1</v>
      </c>
      <c r="H281">
        <v>261</v>
      </c>
      <c r="I281">
        <v>0</v>
      </c>
      <c r="J281">
        <v>261</v>
      </c>
      <c r="K281">
        <v>68.510892989113188</v>
      </c>
      <c r="L281" t="s">
        <v>32</v>
      </c>
      <c r="M281" t="s">
        <v>35</v>
      </c>
    </row>
    <row r="282" spans="1:13" x14ac:dyDescent="0.2">
      <c r="A282">
        <v>1878</v>
      </c>
      <c r="B282" s="2">
        <v>44681</v>
      </c>
      <c r="C282" t="s">
        <v>16</v>
      </c>
      <c r="D282" t="s">
        <v>23</v>
      </c>
      <c r="E282" t="s">
        <v>25</v>
      </c>
      <c r="F282" t="s">
        <v>29</v>
      </c>
      <c r="G282">
        <v>9</v>
      </c>
      <c r="H282">
        <v>401</v>
      </c>
      <c r="I282">
        <v>0.3</v>
      </c>
      <c r="J282">
        <v>2526.3000000000002</v>
      </c>
      <c r="K282">
        <v>304.53730169935778</v>
      </c>
      <c r="L282" t="s">
        <v>32</v>
      </c>
      <c r="M282" t="s">
        <v>36</v>
      </c>
    </row>
    <row r="283" spans="1:13" x14ac:dyDescent="0.2">
      <c r="A283">
        <v>1795</v>
      </c>
      <c r="B283" s="2">
        <v>44778</v>
      </c>
      <c r="C283" t="s">
        <v>17</v>
      </c>
      <c r="D283" t="s">
        <v>21</v>
      </c>
      <c r="E283" t="s">
        <v>24</v>
      </c>
      <c r="F283" t="s">
        <v>28</v>
      </c>
      <c r="G283">
        <v>1</v>
      </c>
      <c r="H283">
        <v>197</v>
      </c>
      <c r="J283">
        <v>197</v>
      </c>
      <c r="K283">
        <v>38.296473269647009</v>
      </c>
      <c r="L283" t="s">
        <v>32</v>
      </c>
      <c r="M283" t="s">
        <v>35</v>
      </c>
    </row>
    <row r="284" spans="1:13" x14ac:dyDescent="0.2">
      <c r="A284">
        <v>1577</v>
      </c>
      <c r="B284" s="2">
        <v>44779</v>
      </c>
      <c r="C284" t="s">
        <v>14</v>
      </c>
      <c r="D284" t="s">
        <v>21</v>
      </c>
      <c r="E284" t="s">
        <v>24</v>
      </c>
      <c r="F284" t="s">
        <v>29</v>
      </c>
      <c r="G284">
        <v>8</v>
      </c>
      <c r="H284">
        <v>367</v>
      </c>
      <c r="I284">
        <v>0.3</v>
      </c>
      <c r="J284">
        <v>2055.1999999999998</v>
      </c>
      <c r="K284">
        <v>428.80844613734598</v>
      </c>
      <c r="L284" t="s">
        <v>33</v>
      </c>
      <c r="M284" t="s">
        <v>35</v>
      </c>
    </row>
    <row r="285" spans="1:13" x14ac:dyDescent="0.2">
      <c r="A285">
        <v>1794</v>
      </c>
      <c r="B285" s="2">
        <v>44747</v>
      </c>
      <c r="C285" t="s">
        <v>19</v>
      </c>
      <c r="D285" t="s">
        <v>22</v>
      </c>
      <c r="E285" t="s">
        <v>26</v>
      </c>
      <c r="F285" t="s">
        <v>30</v>
      </c>
      <c r="G285">
        <v>8</v>
      </c>
      <c r="H285">
        <v>173</v>
      </c>
      <c r="I285">
        <v>0.2</v>
      </c>
      <c r="J285">
        <v>1107.2</v>
      </c>
      <c r="K285">
        <v>273.00180558950029</v>
      </c>
      <c r="L285" t="s">
        <v>32</v>
      </c>
      <c r="M285" t="s">
        <v>34</v>
      </c>
    </row>
    <row r="286" spans="1:13" x14ac:dyDescent="0.2">
      <c r="A286">
        <v>1768</v>
      </c>
      <c r="B286" s="2">
        <v>44740</v>
      </c>
      <c r="C286" t="s">
        <v>18</v>
      </c>
      <c r="D286" t="s">
        <v>20</v>
      </c>
      <c r="E286" t="s">
        <v>24</v>
      </c>
      <c r="F286" t="s">
        <v>30</v>
      </c>
      <c r="G286">
        <v>9</v>
      </c>
      <c r="H286">
        <v>308</v>
      </c>
      <c r="I286">
        <v>0.2</v>
      </c>
      <c r="J286">
        <v>2217.6</v>
      </c>
      <c r="K286">
        <v>471.77969018848893</v>
      </c>
      <c r="L286" t="s">
        <v>32</v>
      </c>
      <c r="M286" t="s">
        <v>36</v>
      </c>
    </row>
    <row r="287" spans="1:13" x14ac:dyDescent="0.2">
      <c r="A287">
        <v>1831</v>
      </c>
      <c r="B287" s="2">
        <v>44617</v>
      </c>
      <c r="C287" t="s">
        <v>13</v>
      </c>
      <c r="D287" t="s">
        <v>21</v>
      </c>
      <c r="E287" t="s">
        <v>26</v>
      </c>
      <c r="F287" t="s">
        <v>28</v>
      </c>
      <c r="G287">
        <v>6</v>
      </c>
      <c r="H287">
        <v>214</v>
      </c>
      <c r="I287">
        <v>0.1</v>
      </c>
      <c r="J287">
        <v>1155.5999999999999</v>
      </c>
      <c r="K287">
        <v>290.34132200777441</v>
      </c>
      <c r="L287" t="s">
        <v>32</v>
      </c>
      <c r="M287" t="s">
        <v>36</v>
      </c>
    </row>
    <row r="288" spans="1:13" x14ac:dyDescent="0.2">
      <c r="A288">
        <v>1726</v>
      </c>
      <c r="B288" s="2">
        <v>44673</v>
      </c>
      <c r="C288" t="s">
        <v>14</v>
      </c>
      <c r="D288" t="s">
        <v>21</v>
      </c>
      <c r="E288" t="s">
        <v>25</v>
      </c>
      <c r="F288" t="s">
        <v>31</v>
      </c>
      <c r="G288">
        <v>7</v>
      </c>
      <c r="H288">
        <v>423</v>
      </c>
      <c r="I288">
        <v>0.2</v>
      </c>
      <c r="J288">
        <v>2368.8000000000002</v>
      </c>
      <c r="K288">
        <v>212.54541689379121</v>
      </c>
      <c r="L288" t="s">
        <v>32</v>
      </c>
      <c r="M288" t="s">
        <v>35</v>
      </c>
    </row>
    <row r="289" spans="1:13" x14ac:dyDescent="0.2">
      <c r="A289">
        <v>1240</v>
      </c>
      <c r="B289" s="2">
        <v>44759</v>
      </c>
      <c r="C289" t="s">
        <v>13</v>
      </c>
      <c r="D289" t="s">
        <v>21</v>
      </c>
      <c r="E289" t="s">
        <v>26</v>
      </c>
      <c r="F289" t="s">
        <v>27</v>
      </c>
      <c r="G289">
        <v>2</v>
      </c>
      <c r="H289">
        <v>447</v>
      </c>
      <c r="I289">
        <v>0.3</v>
      </c>
      <c r="J289">
        <v>625.79999999999995</v>
      </c>
      <c r="K289">
        <v>101.88639539711561</v>
      </c>
      <c r="L289" t="s">
        <v>32</v>
      </c>
      <c r="M289" t="s">
        <v>34</v>
      </c>
    </row>
    <row r="290" spans="1:13" x14ac:dyDescent="0.2">
      <c r="A290">
        <v>1461</v>
      </c>
      <c r="B290" s="2">
        <v>44738</v>
      </c>
      <c r="C290" t="s">
        <v>18</v>
      </c>
      <c r="D290" t="s">
        <v>21</v>
      </c>
      <c r="E290" t="s">
        <v>26</v>
      </c>
      <c r="F290" t="s">
        <v>28</v>
      </c>
      <c r="G290">
        <v>9</v>
      </c>
      <c r="H290">
        <v>21</v>
      </c>
      <c r="I290">
        <v>0.1</v>
      </c>
      <c r="J290">
        <v>170.1</v>
      </c>
      <c r="K290">
        <v>28.164118731550818</v>
      </c>
      <c r="L290" t="s">
        <v>32</v>
      </c>
      <c r="M290" t="s">
        <v>35</v>
      </c>
    </row>
    <row r="291" spans="1:13" x14ac:dyDescent="0.2">
      <c r="A291">
        <v>1942</v>
      </c>
      <c r="B291" s="2">
        <v>44644</v>
      </c>
      <c r="C291" t="s">
        <v>15</v>
      </c>
      <c r="D291" t="s">
        <v>21</v>
      </c>
      <c r="E291" t="s">
        <v>26</v>
      </c>
      <c r="F291" t="s">
        <v>28</v>
      </c>
      <c r="G291">
        <v>7</v>
      </c>
      <c r="H291">
        <v>300</v>
      </c>
      <c r="I291">
        <v>0.3</v>
      </c>
      <c r="J291">
        <v>1470</v>
      </c>
      <c r="K291">
        <v>382.12733997108933</v>
      </c>
      <c r="L291" t="s">
        <v>32</v>
      </c>
      <c r="M291" t="s">
        <v>34</v>
      </c>
    </row>
    <row r="292" spans="1:13" x14ac:dyDescent="0.2">
      <c r="A292">
        <v>1062</v>
      </c>
      <c r="B292" s="2">
        <v>44702</v>
      </c>
      <c r="C292" t="s">
        <v>19</v>
      </c>
      <c r="D292" t="s">
        <v>21</v>
      </c>
      <c r="E292" t="s">
        <v>25</v>
      </c>
      <c r="F292" t="s">
        <v>30</v>
      </c>
      <c r="G292">
        <v>8</v>
      </c>
      <c r="H292">
        <v>497</v>
      </c>
      <c r="I292">
        <v>0</v>
      </c>
      <c r="J292">
        <v>3976</v>
      </c>
      <c r="K292">
        <v>1156.4140676082691</v>
      </c>
      <c r="L292" t="s">
        <v>32</v>
      </c>
      <c r="M292" t="s">
        <v>36</v>
      </c>
    </row>
    <row r="293" spans="1:13" x14ac:dyDescent="0.2">
      <c r="A293">
        <v>1729</v>
      </c>
      <c r="B293" s="2">
        <v>44661</v>
      </c>
      <c r="C293" t="s">
        <v>19</v>
      </c>
      <c r="D293" t="s">
        <v>23</v>
      </c>
      <c r="E293" t="s">
        <v>25</v>
      </c>
      <c r="F293" t="s">
        <v>27</v>
      </c>
      <c r="G293">
        <v>8</v>
      </c>
      <c r="H293">
        <v>193</v>
      </c>
      <c r="I293">
        <v>0.3</v>
      </c>
      <c r="J293">
        <v>1080.8</v>
      </c>
      <c r="K293">
        <v>281.53044974714669</v>
      </c>
      <c r="L293" t="s">
        <v>32</v>
      </c>
      <c r="M293" t="s">
        <v>36</v>
      </c>
    </row>
    <row r="294" spans="1:13" x14ac:dyDescent="0.2">
      <c r="A294">
        <v>1502</v>
      </c>
      <c r="B294" s="2">
        <v>44723</v>
      </c>
      <c r="C294" t="s">
        <v>18</v>
      </c>
      <c r="D294" t="s">
        <v>21</v>
      </c>
      <c r="E294" t="s">
        <v>25</v>
      </c>
      <c r="F294" t="s">
        <v>31</v>
      </c>
      <c r="G294">
        <v>9</v>
      </c>
      <c r="H294">
        <v>396</v>
      </c>
      <c r="J294">
        <v>3564</v>
      </c>
      <c r="K294">
        <v>678.24950435972971</v>
      </c>
      <c r="L294" t="s">
        <v>32</v>
      </c>
      <c r="M294" t="s">
        <v>36</v>
      </c>
    </row>
    <row r="295" spans="1:13" x14ac:dyDescent="0.2">
      <c r="A295">
        <v>1343</v>
      </c>
      <c r="B295" s="2">
        <v>44698</v>
      </c>
      <c r="C295" t="s">
        <v>13</v>
      </c>
      <c r="D295" t="s">
        <v>23</v>
      </c>
      <c r="E295" t="s">
        <v>25</v>
      </c>
      <c r="F295" t="s">
        <v>30</v>
      </c>
      <c r="G295">
        <v>8</v>
      </c>
      <c r="H295">
        <v>228</v>
      </c>
      <c r="I295">
        <v>0.2</v>
      </c>
      <c r="J295">
        <v>1459.2</v>
      </c>
      <c r="K295">
        <v>199.6708454192258</v>
      </c>
      <c r="L295" t="s">
        <v>33</v>
      </c>
      <c r="M295" t="s">
        <v>34</v>
      </c>
    </row>
    <row r="296" spans="1:13" x14ac:dyDescent="0.2">
      <c r="A296">
        <v>1418</v>
      </c>
      <c r="B296" s="2">
        <v>44708</v>
      </c>
      <c r="C296" t="s">
        <v>19</v>
      </c>
      <c r="D296" t="s">
        <v>21</v>
      </c>
      <c r="E296" t="s">
        <v>24</v>
      </c>
      <c r="F296" t="s">
        <v>31</v>
      </c>
      <c r="G296">
        <v>1</v>
      </c>
      <c r="H296">
        <v>51</v>
      </c>
      <c r="I296">
        <v>0.3</v>
      </c>
      <c r="J296">
        <v>35.700000000000003</v>
      </c>
      <c r="K296">
        <v>8.3075771124530124</v>
      </c>
      <c r="L296" t="s">
        <v>32</v>
      </c>
      <c r="M296" t="s">
        <v>34</v>
      </c>
    </row>
    <row r="297" spans="1:13" x14ac:dyDescent="0.2">
      <c r="A297">
        <v>1862</v>
      </c>
      <c r="B297" s="2">
        <v>44668</v>
      </c>
      <c r="C297" t="s">
        <v>16</v>
      </c>
      <c r="D297" t="s">
        <v>21</v>
      </c>
      <c r="E297" t="s">
        <v>24</v>
      </c>
      <c r="F297" t="s">
        <v>28</v>
      </c>
      <c r="G297">
        <v>8</v>
      </c>
      <c r="H297">
        <v>200</v>
      </c>
      <c r="I297">
        <v>0.1</v>
      </c>
      <c r="J297">
        <v>1440</v>
      </c>
      <c r="K297">
        <v>334.05815051055538</v>
      </c>
      <c r="L297" t="s">
        <v>32</v>
      </c>
      <c r="M297" t="s">
        <v>34</v>
      </c>
    </row>
    <row r="298" spans="1:13" x14ac:dyDescent="0.2">
      <c r="A298">
        <v>1273</v>
      </c>
      <c r="B298" s="2">
        <v>44626</v>
      </c>
      <c r="C298" t="s">
        <v>17</v>
      </c>
      <c r="D298" t="s">
        <v>23</v>
      </c>
      <c r="E298" t="s">
        <v>24</v>
      </c>
      <c r="F298" t="s">
        <v>28</v>
      </c>
      <c r="G298">
        <v>4</v>
      </c>
      <c r="H298">
        <v>483</v>
      </c>
      <c r="I298">
        <v>0.3</v>
      </c>
      <c r="J298">
        <v>1352.4</v>
      </c>
      <c r="K298">
        <v>334.2507195557406</v>
      </c>
      <c r="L298" t="s">
        <v>33</v>
      </c>
      <c r="M298" t="s">
        <v>34</v>
      </c>
    </row>
    <row r="299" spans="1:13" x14ac:dyDescent="0.2">
      <c r="A299">
        <v>1052</v>
      </c>
      <c r="B299" s="2">
        <v>44682</v>
      </c>
      <c r="C299" t="s">
        <v>18</v>
      </c>
      <c r="D299" t="s">
        <v>22</v>
      </c>
      <c r="E299" t="s">
        <v>25</v>
      </c>
      <c r="F299" t="s">
        <v>29</v>
      </c>
      <c r="G299">
        <v>3</v>
      </c>
      <c r="H299">
        <v>255</v>
      </c>
      <c r="I299">
        <v>0.1</v>
      </c>
      <c r="J299">
        <v>688.5</v>
      </c>
      <c r="K299">
        <v>79.471090813042821</v>
      </c>
      <c r="L299" t="s">
        <v>32</v>
      </c>
      <c r="M299" t="s">
        <v>36</v>
      </c>
    </row>
    <row r="300" spans="1:13" x14ac:dyDescent="0.2">
      <c r="A300">
        <v>1647</v>
      </c>
      <c r="B300" s="2">
        <v>44700</v>
      </c>
      <c r="C300" t="s">
        <v>19</v>
      </c>
      <c r="D300" t="s">
        <v>21</v>
      </c>
      <c r="E300" t="s">
        <v>25</v>
      </c>
      <c r="F300" t="s">
        <v>31</v>
      </c>
      <c r="G300">
        <v>7</v>
      </c>
      <c r="H300">
        <v>296</v>
      </c>
      <c r="I300">
        <v>0.3</v>
      </c>
      <c r="J300">
        <v>1450.4</v>
      </c>
      <c r="K300">
        <v>80.433163670792496</v>
      </c>
      <c r="L300" t="s">
        <v>32</v>
      </c>
      <c r="M300" t="s">
        <v>35</v>
      </c>
    </row>
    <row r="301" spans="1:13" x14ac:dyDescent="0.2">
      <c r="A301">
        <v>1200</v>
      </c>
      <c r="B301" s="2">
        <v>44717</v>
      </c>
      <c r="C301" t="s">
        <v>17</v>
      </c>
      <c r="D301" t="s">
        <v>23</v>
      </c>
      <c r="E301" t="s">
        <v>25</v>
      </c>
      <c r="F301" t="s">
        <v>27</v>
      </c>
      <c r="G301">
        <v>4</v>
      </c>
      <c r="H301">
        <v>233</v>
      </c>
      <c r="J301">
        <v>932</v>
      </c>
      <c r="K301">
        <v>128.0349846962288</v>
      </c>
      <c r="L301" t="s">
        <v>32</v>
      </c>
      <c r="M301" t="s">
        <v>36</v>
      </c>
    </row>
    <row r="302" spans="1:13" x14ac:dyDescent="0.2">
      <c r="A302">
        <v>1839</v>
      </c>
      <c r="B302" s="2">
        <v>44718</v>
      </c>
      <c r="C302" t="s">
        <v>19</v>
      </c>
      <c r="D302" t="s">
        <v>23</v>
      </c>
      <c r="E302" t="s">
        <v>25</v>
      </c>
      <c r="F302" t="s">
        <v>30</v>
      </c>
      <c r="G302">
        <v>1</v>
      </c>
      <c r="H302">
        <v>198</v>
      </c>
      <c r="J302">
        <v>198</v>
      </c>
      <c r="K302">
        <v>15.5477413519527</v>
      </c>
      <c r="L302" t="s">
        <v>32</v>
      </c>
      <c r="M302" t="s">
        <v>34</v>
      </c>
    </row>
    <row r="303" spans="1:13" x14ac:dyDescent="0.2">
      <c r="A303">
        <v>1607</v>
      </c>
      <c r="B303" s="2">
        <v>44825</v>
      </c>
      <c r="C303" t="s">
        <v>19</v>
      </c>
      <c r="D303" t="s">
        <v>21</v>
      </c>
      <c r="E303" t="s">
        <v>24</v>
      </c>
      <c r="F303" t="s">
        <v>27</v>
      </c>
      <c r="G303">
        <v>9</v>
      </c>
      <c r="H303">
        <v>101</v>
      </c>
      <c r="I303">
        <v>0</v>
      </c>
      <c r="J303">
        <v>909</v>
      </c>
      <c r="K303">
        <v>116.88606322100679</v>
      </c>
      <c r="L303" t="s">
        <v>32</v>
      </c>
      <c r="M303" t="s">
        <v>36</v>
      </c>
    </row>
    <row r="304" spans="1:13" x14ac:dyDescent="0.2">
      <c r="A304">
        <v>1561</v>
      </c>
      <c r="B304" s="2">
        <v>44649</v>
      </c>
      <c r="C304" t="s">
        <v>14</v>
      </c>
      <c r="D304" t="s">
        <v>20</v>
      </c>
      <c r="E304" t="s">
        <v>26</v>
      </c>
      <c r="F304" t="s">
        <v>30</v>
      </c>
      <c r="G304">
        <v>3</v>
      </c>
      <c r="H304">
        <v>227</v>
      </c>
      <c r="I304">
        <v>0.3</v>
      </c>
      <c r="J304">
        <v>476.7</v>
      </c>
      <c r="K304">
        <v>67.004408758911467</v>
      </c>
      <c r="L304" t="s">
        <v>32</v>
      </c>
      <c r="M304" t="s">
        <v>35</v>
      </c>
    </row>
    <row r="305" spans="1:13" x14ac:dyDescent="0.2">
      <c r="A305">
        <v>1540</v>
      </c>
      <c r="B305" s="2">
        <v>44770</v>
      </c>
      <c r="C305" t="s">
        <v>18</v>
      </c>
      <c r="D305" t="s">
        <v>20</v>
      </c>
      <c r="E305" t="s">
        <v>26</v>
      </c>
      <c r="F305" t="s">
        <v>28</v>
      </c>
      <c r="G305">
        <v>1</v>
      </c>
      <c r="H305">
        <v>378</v>
      </c>
      <c r="I305">
        <v>0.2</v>
      </c>
      <c r="J305">
        <v>302.39999999999998</v>
      </c>
      <c r="K305">
        <v>77.270998941377059</v>
      </c>
      <c r="L305" t="s">
        <v>33</v>
      </c>
      <c r="M305" t="s">
        <v>36</v>
      </c>
    </row>
    <row r="306" spans="1:13" x14ac:dyDescent="0.2">
      <c r="A306">
        <v>1402</v>
      </c>
      <c r="B306" s="2">
        <v>44855</v>
      </c>
      <c r="C306" t="s">
        <v>19</v>
      </c>
      <c r="D306" t="s">
        <v>20</v>
      </c>
      <c r="E306" t="s">
        <v>26</v>
      </c>
      <c r="F306" t="s">
        <v>31</v>
      </c>
      <c r="G306">
        <v>4</v>
      </c>
      <c r="H306">
        <v>423</v>
      </c>
      <c r="I306">
        <v>0</v>
      </c>
      <c r="J306">
        <v>1692</v>
      </c>
      <c r="K306">
        <v>446.57686051714762</v>
      </c>
      <c r="L306" t="s">
        <v>32</v>
      </c>
      <c r="M306" t="s">
        <v>34</v>
      </c>
    </row>
    <row r="307" spans="1:13" x14ac:dyDescent="0.2">
      <c r="A307">
        <v>1698</v>
      </c>
      <c r="B307" s="2">
        <v>44775</v>
      </c>
      <c r="C307" t="s">
        <v>16</v>
      </c>
      <c r="D307" t="s">
        <v>22</v>
      </c>
      <c r="E307" t="s">
        <v>25</v>
      </c>
      <c r="F307" t="s">
        <v>27</v>
      </c>
      <c r="G307">
        <v>3</v>
      </c>
      <c r="H307">
        <v>223</v>
      </c>
      <c r="J307">
        <v>669</v>
      </c>
      <c r="K307">
        <v>120.97688081732051</v>
      </c>
      <c r="L307" t="s">
        <v>32</v>
      </c>
      <c r="M307" t="s">
        <v>34</v>
      </c>
    </row>
    <row r="308" spans="1:13" x14ac:dyDescent="0.2">
      <c r="A308">
        <v>1821</v>
      </c>
      <c r="B308" s="2">
        <v>44657</v>
      </c>
      <c r="C308" t="s">
        <v>15</v>
      </c>
      <c r="D308" t="s">
        <v>21</v>
      </c>
      <c r="E308" t="s">
        <v>24</v>
      </c>
      <c r="F308" t="s">
        <v>29</v>
      </c>
      <c r="G308">
        <v>7</v>
      </c>
      <c r="H308">
        <v>328</v>
      </c>
      <c r="J308">
        <v>2296</v>
      </c>
      <c r="K308">
        <v>654.74988669620541</v>
      </c>
      <c r="L308" t="s">
        <v>32</v>
      </c>
      <c r="M308" t="s">
        <v>36</v>
      </c>
    </row>
    <row r="309" spans="1:13" x14ac:dyDescent="0.2">
      <c r="A309">
        <v>1509</v>
      </c>
      <c r="B309" s="2">
        <v>44835</v>
      </c>
      <c r="C309" t="s">
        <v>15</v>
      </c>
      <c r="D309" t="s">
        <v>23</v>
      </c>
      <c r="E309" t="s">
        <v>25</v>
      </c>
      <c r="F309" t="s">
        <v>27</v>
      </c>
      <c r="G309">
        <v>7</v>
      </c>
      <c r="H309">
        <v>150</v>
      </c>
      <c r="I309">
        <v>0.2</v>
      </c>
      <c r="J309">
        <v>840</v>
      </c>
      <c r="K309">
        <v>215.45542466869719</v>
      </c>
      <c r="L309" t="s">
        <v>32</v>
      </c>
      <c r="M309" t="s">
        <v>35</v>
      </c>
    </row>
    <row r="310" spans="1:13" x14ac:dyDescent="0.2">
      <c r="A310">
        <v>1027</v>
      </c>
      <c r="B310" s="2">
        <v>44715</v>
      </c>
      <c r="C310" t="s">
        <v>15</v>
      </c>
      <c r="D310" t="s">
        <v>20</v>
      </c>
      <c r="E310" t="s">
        <v>26</v>
      </c>
      <c r="F310" t="s">
        <v>30</v>
      </c>
      <c r="G310">
        <v>3</v>
      </c>
      <c r="H310">
        <v>411</v>
      </c>
      <c r="J310">
        <v>1233</v>
      </c>
      <c r="K310">
        <v>361.27064285892129</v>
      </c>
      <c r="L310" t="s">
        <v>32</v>
      </c>
      <c r="M310" t="s">
        <v>36</v>
      </c>
    </row>
    <row r="311" spans="1:13" x14ac:dyDescent="0.2">
      <c r="A311">
        <v>1282</v>
      </c>
      <c r="B311" s="2">
        <v>44802</v>
      </c>
      <c r="C311" t="s">
        <v>14</v>
      </c>
      <c r="D311" t="s">
        <v>20</v>
      </c>
      <c r="E311" t="s">
        <v>26</v>
      </c>
      <c r="F311" t="s">
        <v>30</v>
      </c>
      <c r="G311">
        <v>6</v>
      </c>
      <c r="H311">
        <v>478</v>
      </c>
      <c r="J311">
        <v>2868</v>
      </c>
      <c r="K311">
        <v>719.58373491158068</v>
      </c>
      <c r="L311" t="s">
        <v>32</v>
      </c>
      <c r="M311" t="s">
        <v>36</v>
      </c>
    </row>
    <row r="312" spans="1:13" x14ac:dyDescent="0.2">
      <c r="A312">
        <v>1454</v>
      </c>
      <c r="B312" s="2">
        <v>44640</v>
      </c>
      <c r="C312" t="s">
        <v>13</v>
      </c>
      <c r="D312" t="s">
        <v>22</v>
      </c>
      <c r="E312" t="s">
        <v>25</v>
      </c>
      <c r="F312" t="s">
        <v>28</v>
      </c>
      <c r="G312">
        <v>1</v>
      </c>
      <c r="H312">
        <v>181</v>
      </c>
      <c r="I312">
        <v>0.3</v>
      </c>
      <c r="J312">
        <v>126.7</v>
      </c>
      <c r="K312">
        <v>26.48591802713327</v>
      </c>
      <c r="L312" t="s">
        <v>32</v>
      </c>
      <c r="M312" t="s">
        <v>36</v>
      </c>
    </row>
    <row r="313" spans="1:13" x14ac:dyDescent="0.2">
      <c r="A313">
        <v>1957</v>
      </c>
      <c r="B313" s="2">
        <v>44610</v>
      </c>
      <c r="C313" t="s">
        <v>18</v>
      </c>
      <c r="D313" t="s">
        <v>23</v>
      </c>
      <c r="E313" t="s">
        <v>24</v>
      </c>
      <c r="F313" t="s">
        <v>28</v>
      </c>
      <c r="G313">
        <v>5</v>
      </c>
      <c r="H313">
        <v>149</v>
      </c>
      <c r="I313">
        <v>0</v>
      </c>
      <c r="J313">
        <v>745</v>
      </c>
      <c r="K313">
        <v>156.88312919984861</v>
      </c>
      <c r="L313" t="s">
        <v>33</v>
      </c>
      <c r="M313" t="s">
        <v>35</v>
      </c>
    </row>
    <row r="314" spans="1:13" x14ac:dyDescent="0.2">
      <c r="A314">
        <v>1406</v>
      </c>
      <c r="B314" s="2">
        <v>44765</v>
      </c>
      <c r="C314" t="s">
        <v>13</v>
      </c>
      <c r="D314" t="s">
        <v>20</v>
      </c>
      <c r="E314" t="s">
        <v>25</v>
      </c>
      <c r="F314" t="s">
        <v>30</v>
      </c>
      <c r="G314">
        <v>6</v>
      </c>
      <c r="H314">
        <v>142</v>
      </c>
      <c r="J314">
        <v>852</v>
      </c>
      <c r="K314">
        <v>236.26390384851231</v>
      </c>
      <c r="L314" t="s">
        <v>32</v>
      </c>
      <c r="M314" t="s">
        <v>34</v>
      </c>
    </row>
    <row r="315" spans="1:13" x14ac:dyDescent="0.2">
      <c r="A315">
        <v>1339</v>
      </c>
      <c r="B315" s="2">
        <v>44636</v>
      </c>
      <c r="C315" t="s">
        <v>16</v>
      </c>
      <c r="D315" t="s">
        <v>21</v>
      </c>
      <c r="E315" t="s">
        <v>26</v>
      </c>
      <c r="F315" t="s">
        <v>27</v>
      </c>
      <c r="G315">
        <v>9</v>
      </c>
      <c r="H315">
        <v>77</v>
      </c>
      <c r="J315">
        <v>693</v>
      </c>
      <c r="K315">
        <v>207.61370634882849</v>
      </c>
      <c r="L315" t="s">
        <v>33</v>
      </c>
      <c r="M315" t="s">
        <v>35</v>
      </c>
    </row>
    <row r="316" spans="1:13" x14ac:dyDescent="0.2">
      <c r="A316">
        <v>1379</v>
      </c>
      <c r="B316" s="2">
        <v>44688</v>
      </c>
      <c r="C316" t="s">
        <v>15</v>
      </c>
      <c r="D316" t="s">
        <v>22</v>
      </c>
      <c r="E316" t="s">
        <v>24</v>
      </c>
      <c r="F316" t="s">
        <v>31</v>
      </c>
      <c r="G316">
        <v>7</v>
      </c>
      <c r="H316">
        <v>463</v>
      </c>
      <c r="I316">
        <v>0</v>
      </c>
      <c r="J316">
        <v>3241</v>
      </c>
      <c r="K316">
        <v>526.45170734555006</v>
      </c>
      <c r="L316" t="s">
        <v>32</v>
      </c>
      <c r="M316"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F5FC-D463-F74D-A7E2-938810816553}">
  <dimension ref="A1"/>
  <sheetViews>
    <sheetView showGridLines="0" topLeftCell="A6" zoomScale="75" zoomScaleNormal="75" workbookViewId="0">
      <selection activeCell="AD31" sqref="AD31"/>
    </sheetView>
  </sheetViews>
  <sheetFormatPr baseColWidth="10" defaultRowHeight="15" x14ac:dyDescent="0.2"/>
  <cols>
    <col min="1" max="1" width="12.1640625" style="6" bestFit="1" customWidth="1"/>
    <col min="2" max="2" width="10.5" style="6" bestFit="1" customWidth="1"/>
    <col min="3" max="4" width="10.83203125" style="6"/>
    <col min="5" max="5" width="12.1640625" style="6" bestFit="1" customWidth="1"/>
    <col min="6" max="6" width="10.5" style="6" bestFit="1" customWidth="1"/>
    <col min="7" max="7" width="10.83203125" style="6"/>
    <col min="8" max="8" width="12.1640625" style="6" bestFit="1" customWidth="1"/>
    <col min="9" max="9" width="10.5" style="6" bestFit="1" customWidth="1"/>
    <col min="10" max="10" width="10.83203125" style="6"/>
    <col min="11" max="11" width="12.1640625" style="6" bestFit="1" customWidth="1"/>
    <col min="12" max="12" width="13.5" style="6" bestFit="1" customWidth="1"/>
    <col min="13" max="13" width="10.83203125" style="6"/>
    <col min="14" max="14" width="12.1640625" style="6" bestFit="1" customWidth="1"/>
    <col min="15" max="15" width="13.5" style="6" bestFit="1" customWidth="1"/>
    <col min="16" max="16384" width="10.832031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6E2AF3-ED63-414D-9204-F69ADCA0B9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Pvot table</vt:lpstr>
      <vt:lpstr>Cleaned Data</vt:lpstr>
      <vt:lpstr>Source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a8674</cp:lastModifiedBy>
  <dcterms:created xsi:type="dcterms:W3CDTF">2025-08-01T07:45:59Z</dcterms:created>
  <dcterms:modified xsi:type="dcterms:W3CDTF">2026-03-09T08:03:52Z</dcterms:modified>
</cp:coreProperties>
</file>